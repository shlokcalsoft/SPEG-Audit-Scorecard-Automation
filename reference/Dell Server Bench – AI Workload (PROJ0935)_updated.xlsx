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9"/>
  <workbookPr codeName="ThisWorkbook" defaultThemeVersion="124226"/>
  <mc:AlternateContent xmlns:mc="http://schemas.openxmlformats.org/markup-compatibility/2006">
    <mc:Choice Requires="x15">
      <x15ac:absPath xmlns:x15ac="http://schemas.microsoft.com/office/spreadsheetml/2010/11/ac" url="C:\Users\charu.sharma\Downloads\"/>
    </mc:Choice>
  </mc:AlternateContent>
  <xr:revisionPtr revIDLastSave="0" documentId="8_{E59DFE83-D8D5-442C-9429-693CD64BA074}" xr6:coauthVersionLast="47" xr6:coauthVersionMax="47" xr10:uidLastSave="{00000000-0000-0000-0000-000000000000}"/>
  <bookViews>
    <workbookView xWindow="-110" yWindow="-110" windowWidth="19420" windowHeight="10300" tabRatio="732" xr2:uid="{00000000-000D-0000-FFFF-FFFF00000000}"/>
  </bookViews>
  <sheets>
    <sheet name="Q2 2026" sheetId="14" r:id="rId1"/>
    <sheet name="Findings" sheetId="12" r:id="rId2"/>
    <sheet name="Transcript" sheetId="1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14" l="1"/>
  <c r="O12" i="14" s="1"/>
  <c r="N290" i="14"/>
  <c r="N14" i="14"/>
  <c r="O14" i="14"/>
  <c r="O290" i="14"/>
  <c r="N13" i="14"/>
  <c r="O13" i="14" s="1"/>
  <c r="N15" i="14"/>
  <c r="O15" i="14" s="1"/>
  <c r="N16" i="14"/>
  <c r="O16" i="14" s="1"/>
  <c r="N17" i="14"/>
  <c r="O17" i="14" s="1"/>
  <c r="N18" i="14"/>
  <c r="O18" i="14" s="1"/>
  <c r="N19" i="14"/>
  <c r="O19" i="14" s="1"/>
  <c r="N20" i="14"/>
  <c r="O20" i="14" s="1"/>
  <c r="N21" i="14"/>
  <c r="O21" i="14" s="1"/>
  <c r="N22" i="14"/>
  <c r="O22" i="14" s="1"/>
  <c r="N23" i="14"/>
  <c r="O23" i="14" s="1"/>
  <c r="N24" i="14"/>
  <c r="O24" i="14" s="1"/>
  <c r="N25" i="14"/>
  <c r="O25" i="14" s="1"/>
  <c r="N26" i="14"/>
  <c r="O26" i="14" s="1"/>
  <c r="N27" i="14"/>
  <c r="O27" i="14" s="1"/>
  <c r="N28" i="14"/>
  <c r="O28" i="14" s="1"/>
  <c r="N29" i="14"/>
  <c r="O29" i="14" s="1"/>
  <c r="N30" i="14"/>
  <c r="O30" i="14" s="1"/>
  <c r="N31" i="14"/>
  <c r="O31" i="14" s="1"/>
  <c r="N32" i="14"/>
  <c r="O32" i="14" s="1"/>
  <c r="N33" i="14"/>
  <c r="O33" i="14" s="1"/>
  <c r="N34" i="14"/>
  <c r="O34" i="14" s="1"/>
  <c r="N35" i="14"/>
  <c r="O35" i="14" s="1"/>
  <c r="N36" i="14"/>
  <c r="O36" i="14" s="1"/>
  <c r="N37" i="14"/>
  <c r="O37" i="14" s="1"/>
  <c r="N38" i="14"/>
  <c r="O38" i="14" s="1"/>
  <c r="N39" i="14"/>
  <c r="O39" i="14" s="1"/>
  <c r="N40" i="14"/>
  <c r="O40" i="14" s="1"/>
  <c r="N41" i="14"/>
  <c r="O41" i="14" s="1"/>
  <c r="N42" i="14"/>
  <c r="O42" i="14" s="1"/>
  <c r="N43" i="14"/>
  <c r="O43" i="14" s="1"/>
  <c r="N44" i="14"/>
  <c r="O44" i="14" s="1"/>
  <c r="N45" i="14"/>
  <c r="O45" i="14" s="1"/>
  <c r="N46" i="14"/>
  <c r="O46" i="14" s="1"/>
  <c r="N47" i="14"/>
  <c r="O47" i="14" s="1"/>
  <c r="N48" i="14"/>
  <c r="O48" i="14" s="1"/>
  <c r="N49" i="14"/>
  <c r="O49" i="14" s="1"/>
  <c r="N50" i="14"/>
  <c r="O50" i="14" s="1"/>
  <c r="N51" i="14"/>
  <c r="O51" i="14" s="1"/>
  <c r="N52" i="14"/>
  <c r="O52" i="14" s="1"/>
  <c r="N53" i="14"/>
  <c r="O53" i="14" s="1"/>
  <c r="N54" i="14"/>
  <c r="O54" i="14" s="1"/>
  <c r="N56" i="14"/>
  <c r="O56" i="14" s="1"/>
  <c r="N57" i="14"/>
  <c r="O57" i="14" s="1"/>
  <c r="N58" i="14"/>
  <c r="O58" i="14" s="1"/>
  <c r="N59" i="14"/>
  <c r="O59" i="14" s="1"/>
  <c r="N60" i="14"/>
  <c r="O60" i="14" s="1"/>
  <c r="N61" i="14"/>
  <c r="O61" i="14" s="1"/>
  <c r="N62" i="14"/>
  <c r="O62" i="14" s="1"/>
  <c r="N63" i="14"/>
  <c r="O63" i="14" s="1"/>
  <c r="N64" i="14"/>
  <c r="O64" i="14" s="1"/>
  <c r="N65" i="14"/>
  <c r="O65" i="14" s="1"/>
  <c r="N66" i="14"/>
  <c r="O66" i="14" s="1"/>
  <c r="N67" i="14"/>
  <c r="O67" i="14" s="1"/>
  <c r="N68" i="14"/>
  <c r="O68" i="14" s="1"/>
  <c r="N69" i="14"/>
  <c r="O69" i="14" s="1"/>
  <c r="N70" i="14"/>
  <c r="O70" i="14" s="1"/>
  <c r="N71" i="14"/>
  <c r="O71" i="14" s="1"/>
  <c r="N72" i="14"/>
  <c r="O72" i="14" s="1"/>
  <c r="N73" i="14"/>
  <c r="O73" i="14" s="1"/>
  <c r="N74" i="14"/>
  <c r="O74" i="14" s="1"/>
  <c r="N75" i="14"/>
  <c r="O75" i="14" s="1"/>
  <c r="N76" i="14"/>
  <c r="O76" i="14" s="1"/>
  <c r="N77" i="14"/>
  <c r="O77" i="14" s="1"/>
  <c r="N78" i="14"/>
  <c r="O78" i="14" s="1"/>
  <c r="N79" i="14"/>
  <c r="O79" i="14" s="1"/>
  <c r="N80" i="14"/>
  <c r="O80" i="14" s="1"/>
  <c r="N81" i="14"/>
  <c r="O81" i="14" s="1"/>
  <c r="N82" i="14"/>
  <c r="O82" i="14" s="1"/>
  <c r="N83" i="14"/>
  <c r="O83" i="14" s="1"/>
  <c r="N84" i="14"/>
  <c r="O84" i="14" s="1"/>
  <c r="N85" i="14"/>
  <c r="O85" i="14" s="1"/>
  <c r="N86" i="14"/>
  <c r="O86" i="14" s="1"/>
  <c r="N87" i="14"/>
  <c r="O87" i="14" s="1"/>
  <c r="N88" i="14"/>
  <c r="O88" i="14" s="1"/>
  <c r="N89" i="14"/>
  <c r="O89" i="14" s="1"/>
  <c r="N90" i="14"/>
  <c r="O90" i="14" s="1"/>
  <c r="N91" i="14"/>
  <c r="O91" i="14" s="1"/>
  <c r="N92" i="14"/>
  <c r="O92" i="14" s="1"/>
  <c r="N93" i="14"/>
  <c r="O93" i="14" s="1"/>
  <c r="N94" i="14"/>
  <c r="O94" i="14" s="1"/>
  <c r="N95" i="14"/>
  <c r="O95" i="14" s="1"/>
  <c r="N96" i="14"/>
  <c r="O96" i="14" s="1"/>
  <c r="N97" i="14"/>
  <c r="O97" i="14" s="1"/>
  <c r="N98" i="14"/>
  <c r="O98" i="14" s="1"/>
  <c r="N99" i="14"/>
  <c r="O99" i="14" s="1"/>
  <c r="N100" i="14"/>
  <c r="O100" i="14" s="1"/>
  <c r="N101" i="14"/>
  <c r="O101" i="14" s="1"/>
  <c r="N102" i="14"/>
  <c r="O102" i="14" s="1"/>
  <c r="N103" i="14"/>
  <c r="O103" i="14" s="1"/>
  <c r="N104" i="14"/>
  <c r="O104" i="14" s="1"/>
  <c r="N105" i="14"/>
  <c r="O105" i="14" s="1"/>
  <c r="N106" i="14"/>
  <c r="O106" i="14" s="1"/>
  <c r="N107" i="14"/>
  <c r="O107" i="14" s="1"/>
  <c r="N108" i="14"/>
  <c r="O108" i="14" s="1"/>
  <c r="N109" i="14"/>
  <c r="O109" i="14" s="1"/>
  <c r="N110" i="14"/>
  <c r="O110" i="14" s="1"/>
  <c r="N111" i="14"/>
  <c r="O111" i="14" s="1"/>
  <c r="N112" i="14"/>
  <c r="O112" i="14" s="1"/>
  <c r="N113" i="14"/>
  <c r="O113" i="14" s="1"/>
  <c r="N114" i="14"/>
  <c r="O114" i="14" s="1"/>
  <c r="N115" i="14"/>
  <c r="O115" i="14" s="1"/>
  <c r="N116" i="14"/>
  <c r="O116" i="14" s="1"/>
  <c r="N117" i="14"/>
  <c r="O117" i="14" s="1"/>
  <c r="N118" i="14"/>
  <c r="O118" i="14" s="1"/>
  <c r="N119" i="14"/>
  <c r="O119" i="14" s="1"/>
  <c r="N120" i="14"/>
  <c r="O120" i="14" s="1"/>
  <c r="N121" i="14"/>
  <c r="O121" i="14" s="1"/>
  <c r="N122" i="14"/>
  <c r="O122" i="14" s="1"/>
  <c r="N123" i="14"/>
  <c r="O123" i="14" s="1"/>
  <c r="N124" i="14"/>
  <c r="O124" i="14" s="1"/>
  <c r="N125" i="14"/>
  <c r="O125" i="14" s="1"/>
  <c r="N126" i="14"/>
  <c r="O126" i="14" s="1"/>
  <c r="N127" i="14"/>
  <c r="O127" i="14" s="1"/>
  <c r="N128" i="14"/>
  <c r="O128" i="14" s="1"/>
  <c r="N129" i="14"/>
  <c r="O129" i="14" s="1"/>
  <c r="N130" i="14"/>
  <c r="O130" i="14" s="1"/>
  <c r="N132" i="14"/>
  <c r="O132" i="14" s="1"/>
  <c r="N133" i="14"/>
  <c r="O133" i="14" s="1"/>
  <c r="N134" i="14"/>
  <c r="O134" i="14" s="1"/>
  <c r="N135" i="14"/>
  <c r="O135" i="14" s="1"/>
  <c r="N136" i="14"/>
  <c r="O136" i="14" s="1"/>
  <c r="N137" i="14"/>
  <c r="O137" i="14" s="1"/>
  <c r="N138" i="14"/>
  <c r="O138" i="14" s="1"/>
  <c r="N139" i="14"/>
  <c r="O139" i="14" s="1"/>
  <c r="N140" i="14"/>
  <c r="O140" i="14" s="1"/>
  <c r="N141" i="14"/>
  <c r="O141" i="14" s="1"/>
  <c r="N142" i="14"/>
  <c r="O142" i="14" s="1"/>
  <c r="N143" i="14"/>
  <c r="O143" i="14" s="1"/>
  <c r="N144" i="14"/>
  <c r="O144" i="14" s="1"/>
  <c r="N145" i="14"/>
  <c r="O145" i="14" s="1"/>
  <c r="N146" i="14"/>
  <c r="O146" i="14" s="1"/>
  <c r="N147" i="14"/>
  <c r="O147" i="14" s="1"/>
  <c r="N148" i="14"/>
  <c r="O148" i="14" s="1"/>
  <c r="N149" i="14"/>
  <c r="O149" i="14" s="1"/>
  <c r="N150" i="14"/>
  <c r="O150" i="14" s="1"/>
  <c r="N151" i="14"/>
  <c r="O151" i="14" s="1"/>
  <c r="N152" i="14"/>
  <c r="O152" i="14" s="1"/>
  <c r="N153" i="14"/>
  <c r="O153" i="14" s="1"/>
  <c r="N154" i="14"/>
  <c r="O154" i="14" s="1"/>
  <c r="N155" i="14"/>
  <c r="O155" i="14" s="1"/>
  <c r="N156" i="14"/>
  <c r="O156" i="14" s="1"/>
  <c r="N157" i="14"/>
  <c r="O157" i="14" s="1"/>
  <c r="N158" i="14"/>
  <c r="O158" i="14" s="1"/>
  <c r="N159" i="14"/>
  <c r="O159" i="14" s="1"/>
  <c r="N160" i="14"/>
  <c r="O160" i="14" s="1"/>
  <c r="N161" i="14"/>
  <c r="O161" i="14" s="1"/>
  <c r="N162" i="14"/>
  <c r="O162" i="14" s="1"/>
  <c r="N163" i="14"/>
  <c r="O163" i="14" s="1"/>
  <c r="N164" i="14"/>
  <c r="O164" i="14" s="1"/>
  <c r="N165" i="14"/>
  <c r="O165" i="14" s="1"/>
  <c r="N166" i="14"/>
  <c r="O166" i="14" s="1"/>
  <c r="N167" i="14"/>
  <c r="O167" i="14" s="1"/>
  <c r="N168" i="14"/>
  <c r="O168" i="14" s="1"/>
  <c r="N169" i="14"/>
  <c r="O169" i="14" s="1"/>
  <c r="N170" i="14"/>
  <c r="O170" i="14" s="1"/>
  <c r="P170" i="14" s="1"/>
  <c r="N172" i="14"/>
  <c r="O172" i="14" s="1"/>
  <c r="N173" i="14"/>
  <c r="O173" i="14" s="1"/>
  <c r="N174" i="14"/>
  <c r="O174" i="14" s="1"/>
  <c r="N175" i="14"/>
  <c r="O175" i="14" s="1"/>
  <c r="N176" i="14"/>
  <c r="O176" i="14" s="1"/>
  <c r="N177" i="14"/>
  <c r="O177" i="14" s="1"/>
  <c r="N178" i="14"/>
  <c r="O178" i="14" s="1"/>
  <c r="N179" i="14"/>
  <c r="O179" i="14" s="1"/>
  <c r="N180" i="14"/>
  <c r="O180" i="14" s="1"/>
  <c r="N181" i="14"/>
  <c r="O181" i="14" s="1"/>
  <c r="N182" i="14"/>
  <c r="O182" i="14" s="1"/>
  <c r="N183" i="14"/>
  <c r="O183" i="14" s="1"/>
  <c r="N184" i="14"/>
  <c r="O184" i="14" s="1"/>
  <c r="N185" i="14"/>
  <c r="O185" i="14" s="1"/>
  <c r="N186" i="14"/>
  <c r="O186" i="14" s="1"/>
  <c r="N187" i="14"/>
  <c r="O187" i="14" s="1"/>
  <c r="N188" i="14"/>
  <c r="O188" i="14" s="1"/>
  <c r="N189" i="14"/>
  <c r="O189" i="14" s="1"/>
  <c r="N190" i="14"/>
  <c r="O190" i="14" s="1"/>
  <c r="N191" i="14"/>
  <c r="O191" i="14" s="1"/>
  <c r="N192" i="14"/>
  <c r="O192" i="14" s="1"/>
  <c r="N193" i="14"/>
  <c r="O193" i="14" s="1"/>
  <c r="N194" i="14"/>
  <c r="O194" i="14" s="1"/>
  <c r="N195" i="14"/>
  <c r="O195" i="14" s="1"/>
  <c r="N196" i="14"/>
  <c r="O196" i="14" s="1"/>
  <c r="N197" i="14"/>
  <c r="O197" i="14" s="1"/>
  <c r="N198" i="14"/>
  <c r="O198" i="14" s="1"/>
  <c r="N199" i="14"/>
  <c r="O199" i="14" s="1"/>
  <c r="N200" i="14"/>
  <c r="O200" i="14" s="1"/>
  <c r="N201" i="14"/>
  <c r="O201" i="14" s="1"/>
  <c r="N202" i="14"/>
  <c r="O202" i="14" s="1"/>
  <c r="N203" i="14"/>
  <c r="O203" i="14" s="1"/>
  <c r="N204" i="14"/>
  <c r="O204" i="14" s="1"/>
  <c r="N205" i="14"/>
  <c r="O205" i="14" s="1"/>
  <c r="N206" i="14"/>
  <c r="O206" i="14" s="1"/>
  <c r="N207" i="14"/>
  <c r="O207" i="14" s="1"/>
  <c r="N208" i="14"/>
  <c r="O208" i="14" s="1"/>
  <c r="N209" i="14"/>
  <c r="O209" i="14" s="1"/>
  <c r="N210" i="14"/>
  <c r="O210" i="14" s="1"/>
  <c r="N211" i="14"/>
  <c r="O211" i="14" s="1"/>
  <c r="N212" i="14"/>
  <c r="O212" i="14" s="1"/>
  <c r="N213" i="14"/>
  <c r="O213" i="14" s="1"/>
  <c r="N214" i="14"/>
  <c r="O214" i="14" s="1"/>
  <c r="N215" i="14"/>
  <c r="O215" i="14" s="1"/>
  <c r="N216" i="14"/>
  <c r="O216" i="14" s="1"/>
  <c r="N217" i="14"/>
  <c r="O217" i="14" s="1"/>
  <c r="N218" i="14"/>
  <c r="O218" i="14" s="1"/>
  <c r="N219" i="14"/>
  <c r="O219" i="14" s="1"/>
  <c r="N220" i="14"/>
  <c r="O220" i="14" s="1"/>
  <c r="N221" i="14"/>
  <c r="O221" i="14" s="1"/>
  <c r="N222" i="14"/>
  <c r="O222" i="14" s="1"/>
  <c r="N223" i="14"/>
  <c r="O223" i="14" s="1"/>
  <c r="N224" i="14"/>
  <c r="O224" i="14" s="1"/>
  <c r="N225" i="14"/>
  <c r="O225" i="14" s="1"/>
  <c r="N226" i="14"/>
  <c r="O226" i="14" s="1"/>
  <c r="N227" i="14"/>
  <c r="O227" i="14" s="1"/>
  <c r="N228" i="14"/>
  <c r="O228" i="14" s="1"/>
  <c r="N229" i="14"/>
  <c r="O229" i="14" s="1"/>
  <c r="N230" i="14"/>
  <c r="O230" i="14" s="1"/>
  <c r="N231" i="14"/>
  <c r="O231" i="14" s="1"/>
  <c r="N232" i="14"/>
  <c r="O232" i="14" s="1"/>
  <c r="N233" i="14"/>
  <c r="O233" i="14" s="1"/>
  <c r="N234" i="14"/>
  <c r="O234" i="14" s="1"/>
  <c r="N235" i="14"/>
  <c r="O235" i="14" s="1"/>
  <c r="N236" i="14"/>
  <c r="O236" i="14" s="1"/>
  <c r="N237" i="14"/>
  <c r="O237" i="14" s="1"/>
  <c r="N238" i="14"/>
  <c r="O238" i="14" s="1"/>
  <c r="N239" i="14"/>
  <c r="O239" i="14" s="1"/>
  <c r="N240" i="14"/>
  <c r="O240" i="14" s="1"/>
  <c r="N242" i="14"/>
  <c r="O242" i="14" s="1"/>
  <c r="N243" i="14"/>
  <c r="O243" i="14" s="1"/>
  <c r="N244" i="14"/>
  <c r="O244" i="14" s="1"/>
  <c r="N245" i="14"/>
  <c r="O245" i="14" s="1"/>
  <c r="N246" i="14"/>
  <c r="O246" i="14" s="1"/>
  <c r="N247" i="14"/>
  <c r="O247" i="14" s="1"/>
  <c r="N248" i="14"/>
  <c r="O248" i="14" s="1"/>
  <c r="N249" i="14"/>
  <c r="O249" i="14" s="1"/>
  <c r="N250" i="14"/>
  <c r="O250" i="14" s="1"/>
  <c r="N251" i="14"/>
  <c r="O251" i="14" s="1"/>
  <c r="N252" i="14"/>
  <c r="O252" i="14" s="1"/>
  <c r="N253" i="14"/>
  <c r="O253" i="14" s="1"/>
  <c r="N254" i="14"/>
  <c r="O254" i="14" s="1"/>
  <c r="N255" i="14"/>
  <c r="O255" i="14" s="1"/>
  <c r="N256" i="14"/>
  <c r="O256" i="14" s="1"/>
  <c r="N257" i="14"/>
  <c r="O257" i="14" s="1"/>
  <c r="N258" i="14"/>
  <c r="O258" i="14" s="1"/>
  <c r="N259" i="14"/>
  <c r="O259" i="14" s="1"/>
  <c r="N260" i="14"/>
  <c r="O260" i="14" s="1"/>
  <c r="N261" i="14"/>
  <c r="O261" i="14" s="1"/>
  <c r="N262" i="14"/>
  <c r="O262" i="14" s="1"/>
  <c r="N263" i="14"/>
  <c r="O263" i="14" s="1"/>
  <c r="N264" i="14"/>
  <c r="O264" i="14" s="1"/>
  <c r="N265" i="14"/>
  <c r="O265" i="14" s="1"/>
  <c r="N266" i="14"/>
  <c r="O266" i="14" s="1"/>
  <c r="N267" i="14"/>
  <c r="O267" i="14" s="1"/>
  <c r="N268" i="14"/>
  <c r="N269" i="14"/>
  <c r="O269" i="14" s="1"/>
  <c r="N270" i="14"/>
  <c r="O270" i="14" s="1"/>
  <c r="N271" i="14"/>
  <c r="O271" i="14" s="1"/>
  <c r="N272" i="14"/>
  <c r="O272" i="14" s="1"/>
  <c r="N273" i="14"/>
  <c r="O273" i="14" s="1"/>
  <c r="N274" i="14"/>
  <c r="O274" i="14" s="1"/>
  <c r="N275" i="14"/>
  <c r="O275" i="14" s="1"/>
  <c r="N276" i="14"/>
  <c r="O276" i="14" s="1"/>
  <c r="N277" i="14"/>
  <c r="O277" i="14" s="1"/>
  <c r="N278" i="14"/>
  <c r="O278" i="14" s="1"/>
  <c r="N279" i="14"/>
  <c r="O279" i="14" s="1"/>
  <c r="N280" i="14"/>
  <c r="O280" i="14" s="1"/>
  <c r="N281" i="14"/>
  <c r="O281" i="14" s="1"/>
  <c r="N282" i="14"/>
  <c r="O282" i="14" s="1"/>
  <c r="N283" i="14"/>
  <c r="O283" i="14" s="1"/>
  <c r="N284" i="14"/>
  <c r="O284" i="14" s="1"/>
  <c r="N285" i="14"/>
  <c r="O285" i="14" s="1"/>
  <c r="N286" i="14"/>
  <c r="O286" i="14" s="1"/>
  <c r="N287" i="14"/>
  <c r="O287" i="14" s="1"/>
  <c r="N288" i="14"/>
  <c r="O288" i="14" s="1"/>
  <c r="N289" i="14"/>
  <c r="O289" i="14" s="1"/>
  <c r="N291" i="14"/>
  <c r="O291" i="14" s="1"/>
  <c r="N292" i="14"/>
  <c r="O292" i="14" s="1"/>
  <c r="N293" i="14"/>
  <c r="O293" i="14" s="1"/>
  <c r="N294" i="14"/>
  <c r="O294" i="14" s="1"/>
  <c r="N295" i="14"/>
  <c r="O295" i="14" s="1"/>
  <c r="N296" i="14"/>
  <c r="O296" i="14" s="1"/>
  <c r="N297" i="14"/>
  <c r="O297" i="14" s="1"/>
  <c r="N298" i="14"/>
  <c r="O298" i="14" s="1"/>
  <c r="N299" i="14"/>
  <c r="O299" i="14" s="1"/>
  <c r="P275" i="14" l="1"/>
  <c r="P271" i="14"/>
  <c r="P262" i="14"/>
  <c r="P242" i="14"/>
  <c r="P239" i="14"/>
  <c r="P233" i="14"/>
  <c r="P226" i="14"/>
  <c r="P218" i="14"/>
  <c r="P212" i="14"/>
  <c r="P207" i="14"/>
  <c r="P199" i="14"/>
  <c r="P193" i="14"/>
  <c r="P186" i="14"/>
  <c r="P179" i="14"/>
  <c r="P173" i="14"/>
  <c r="P163" i="14"/>
  <c r="P155" i="14"/>
  <c r="P139" i="14"/>
  <c r="P132" i="14"/>
  <c r="P125" i="14"/>
  <c r="P121" i="14"/>
  <c r="P113" i="14"/>
  <c r="P107" i="14"/>
  <c r="P95" i="14"/>
  <c r="P85" i="14"/>
  <c r="P71" i="14"/>
  <c r="P60" i="14"/>
  <c r="P56" i="14"/>
  <c r="P48" i="14"/>
  <c r="P38" i="14"/>
  <c r="P29" i="14"/>
  <c r="P24" i="14"/>
  <c r="P12" i="14"/>
  <c r="P255" i="14"/>
  <c r="P266" i="14"/>
  <c r="P296" i="14"/>
  <c r="P288" i="14"/>
  <c r="P247" i="14"/>
  <c r="P282" i="14"/>
  <c r="G9" i="14" l="1"/>
  <c r="X12" i="14" l="1"/>
  <c r="X15" i="14"/>
  <c r="X17" i="14" l="1"/>
  <c r="Z17" i="14" l="1"/>
</calcChain>
</file>

<file path=xl/sharedStrings.xml><?xml version="1.0" encoding="utf-8"?>
<sst xmlns="http://schemas.openxmlformats.org/spreadsheetml/2006/main" count="826" uniqueCount="556">
  <si>
    <t>Project Review Checklist</t>
  </si>
  <si>
    <t>Project Name</t>
  </si>
  <si>
    <t>Billing Type</t>
  </si>
  <si>
    <t>Time &amp; material</t>
  </si>
  <si>
    <t>Project ID</t>
  </si>
  <si>
    <t>Project Manager</t>
  </si>
  <si>
    <t>Project Start Date</t>
  </si>
  <si>
    <t>Project State/Phase</t>
  </si>
  <si>
    <t>Open</t>
  </si>
  <si>
    <t>Project End Date</t>
  </si>
  <si>
    <t>19-06-2026 - 12 weeks</t>
  </si>
  <si>
    <t>Review Date</t>
  </si>
  <si>
    <t>Project Type</t>
  </si>
  <si>
    <t>Managed</t>
  </si>
  <si>
    <t>Participants</t>
  </si>
  <si>
    <t>Compliance Status</t>
  </si>
  <si>
    <t>Sr. No.</t>
  </si>
  <si>
    <t>Phases/Process</t>
  </si>
  <si>
    <t>Activities</t>
  </si>
  <si>
    <t>Checkpoint</t>
  </si>
  <si>
    <t>Response</t>
  </si>
  <si>
    <t>Weighted</t>
  </si>
  <si>
    <t>Score</t>
  </si>
  <si>
    <t>Weighted Score</t>
  </si>
  <si>
    <t>Average Score</t>
  </si>
  <si>
    <t>observation</t>
  </si>
  <si>
    <t>Formulas:</t>
  </si>
  <si>
    <t>Initiation</t>
  </si>
  <si>
    <t>SOW</t>
  </si>
  <si>
    <t>Signed  SOW is available</t>
  </si>
  <si>
    <t>Yes</t>
  </si>
  <si>
    <t xml:space="preserve">Signed sow is available and in place </t>
  </si>
  <si>
    <t>Count of NO</t>
  </si>
  <si>
    <t>Approved SOW is available</t>
  </si>
  <si>
    <t>SOW has been approved by both the stakeholders.</t>
  </si>
  <si>
    <t>SOW reviewed and understood by key stakeholders</t>
  </si>
  <si>
    <t>SOW reviewed and signed by both the parties.</t>
  </si>
  <si>
    <t>Scope of work is clearly defined in SOW</t>
  </si>
  <si>
    <r>
      <t xml:space="preserve">The project, Dell Server Bench – AI Workload, focuses on benchmarking Dell server performance by executing AI workloads using the TensorFlow framework. The objective is to evaluate server performance through inference and benchmarking tests and deliver the results within a </t>
    </r>
    <r>
      <rPr>
        <b/>
        <sz val="11"/>
        <color theme="1"/>
        <rFont val="Calibri"/>
        <family val="2"/>
        <scheme val="minor"/>
      </rPr>
      <t>three-month schedule.</t>
    </r>
  </si>
  <si>
    <t>Count of Yes</t>
  </si>
  <si>
    <t xml:space="preserve">Scope of work defined including inclusions and exclusions (In scope/Out Scope) </t>
  </si>
  <si>
    <t>No</t>
  </si>
  <si>
    <t>In-scope and out-of-scope items are not explicitly documented in the SOW, which may create ambiguity during change discussions.</t>
  </si>
  <si>
    <t>Deliverables Identified in SOW (Statement)</t>
  </si>
  <si>
    <t>The primary deliverables include a White Paper, Scientific Report, and Infographics summarizing the benchmarking results and performance analysis.</t>
  </si>
  <si>
    <t>Total applicable checkpoints</t>
  </si>
  <si>
    <t>Div</t>
  </si>
  <si>
    <t>Project timelines/milestones defined in the SOW</t>
  </si>
  <si>
    <t>Milestones defined: Design &amp; Setup (2 weeks), Benchmarking Framework Development (5 weeks), Integration &amp; Deployment (3 weeks), Evaluation &amp; Benchmarking (2 weeks).</t>
  </si>
  <si>
    <t>Acceptance criteria for deliverables defined</t>
  </si>
  <si>
    <t>Acceptance criteria for project deliverables are defined in the SOW and are used to validate successful completion before delivery to the customer.</t>
  </si>
  <si>
    <t>Required skills identified for the project</t>
  </si>
  <si>
    <t>Partial</t>
  </si>
  <si>
    <r>
      <t xml:space="preserve">The project team consists of </t>
    </r>
    <r>
      <rPr>
        <b/>
        <sz val="11"/>
        <color theme="1"/>
        <rFont val="Calibri"/>
        <family val="2"/>
        <scheme val="minor"/>
      </rPr>
      <t xml:space="preserve">7 shared resources, </t>
    </r>
    <r>
      <rPr>
        <sz val="11"/>
        <color theme="1"/>
        <rFont val="Calibri"/>
        <family val="2"/>
        <scheme val="minor"/>
      </rPr>
      <t>including 1 QA Architect, 1 ML Architect, 3 Developers, 1 Senior QA Engineer, 1 Technical Writer, 1 Graphic Designer, and a Project Manager (PM).</t>
    </r>
    <r>
      <rPr>
        <b/>
        <sz val="11"/>
        <color theme="1"/>
        <rFont val="Calibri"/>
        <family val="2"/>
        <scheme val="minor"/>
      </rPr>
      <t xml:space="preserve"> These team members are shared resources.</t>
    </r>
  </si>
  <si>
    <t xml:space="preserve">Timelines of a invoices defined </t>
  </si>
  <si>
    <t>Dependencies tracked to closure</t>
  </si>
  <si>
    <r>
      <t xml:space="preserve">Project dependencies are monitored through </t>
    </r>
    <r>
      <rPr>
        <b/>
        <sz val="11"/>
        <color theme="1"/>
        <rFont val="Calibri"/>
        <family val="2"/>
        <scheme val="minor"/>
      </rPr>
      <t>Weekly Status Reports (WSRs)</t>
    </r>
    <r>
      <rPr>
        <sz val="11"/>
        <color theme="1"/>
        <rFont val="Calibri"/>
        <family val="2"/>
        <scheme val="minor"/>
      </rPr>
      <t xml:space="preserve"> and </t>
    </r>
    <r>
      <rPr>
        <b/>
        <sz val="11"/>
        <color theme="1"/>
        <rFont val="Calibri"/>
        <family val="2"/>
        <scheme val="minor"/>
      </rPr>
      <t>bi-weekly project calls.</t>
    </r>
    <r>
      <rPr>
        <sz val="11"/>
        <color theme="1"/>
        <rFont val="Calibri"/>
        <family val="2"/>
        <scheme val="minor"/>
      </rPr>
      <t xml:space="preserve"> Daily Stand-up Meetings (DSMs) are also conducted to monitor progress and address dependencies.</t>
    </r>
  </si>
  <si>
    <t>Lifecycle identification</t>
  </si>
  <si>
    <t>Lifecycle identified for the project</t>
  </si>
  <si>
    <t>Lifecycle for the project is partially being followed.</t>
  </si>
  <si>
    <t>Execution methodology identified (Agile/Waterfall/Hybrid)</t>
  </si>
  <si>
    <t>The project follows the Agile methodology. However, no dedicated tool is currently being used to track use cases or feature progress, and a product backlog is not being maintained. Earlier, the team used the open-source Jira Community version, but due to user license limitations, they discontinued its use and now track project activities in Excel.</t>
  </si>
  <si>
    <t>Selected methodology formally approved and documented by key stakeholders</t>
  </si>
  <si>
    <t>Milestones / Schedule / High-level Sprint Plan defined</t>
  </si>
  <si>
    <r>
      <t xml:space="preserve">Project milestones and schedules are defined. Each use case is planned and executed within the project's </t>
    </r>
    <r>
      <rPr>
        <b/>
        <sz val="11"/>
        <color theme="1"/>
        <rFont val="Calibri"/>
        <family val="2"/>
        <scheme val="minor"/>
      </rPr>
      <t>three-month duration.</t>
    </r>
  </si>
  <si>
    <t>Estimation Approval</t>
  </si>
  <si>
    <t>High Level Estimations available</t>
  </si>
  <si>
    <r>
      <t xml:space="preserve">The project is executed based on predefined customer use </t>
    </r>
    <r>
      <rPr>
        <b/>
        <sz val="11"/>
        <color theme="1"/>
        <rFont val="Calibri"/>
        <family val="2"/>
        <scheme val="minor"/>
      </rPr>
      <t>cases with a fixed project duration of three months.</t>
    </r>
    <r>
      <rPr>
        <sz val="11"/>
        <color theme="1"/>
        <rFont val="Calibri"/>
        <family val="2"/>
        <scheme val="minor"/>
      </rPr>
      <t xml:space="preserve"> High-level effort estimations are not prepared.</t>
    </r>
  </si>
  <si>
    <t xml:space="preserve">Acceptance on the estimation available </t>
  </si>
  <si>
    <t>NA</t>
  </si>
  <si>
    <t>Since formal estimations are not performed, estimation approval is not applicable. The project scope and timelines are agreed upon through the approved SOW.</t>
  </si>
  <si>
    <t>Detailed estimations available for all tasks/deliverables</t>
  </si>
  <si>
    <t>Detailed task-level estimations are not maintained. Activities are planned according to the customer use cases and project schedule.</t>
  </si>
  <si>
    <t>Estimation technique/methodology defined and documented</t>
  </si>
  <si>
    <r>
      <t>No formal estimation technique (</t>
    </r>
    <r>
      <rPr>
        <b/>
        <sz val="11"/>
        <color theme="1"/>
        <rFont val="Calibri"/>
        <family val="2"/>
        <scheme val="minor"/>
      </rPr>
      <t>such as Planning Poker, Story Points, Expert Judgment, Three-Point Estimation, or WBS)</t>
    </r>
    <r>
      <rPr>
        <sz val="11"/>
        <color theme="1"/>
        <rFont val="Calibri"/>
        <family val="2"/>
        <scheme val="minor"/>
      </rPr>
      <t xml:space="preserve"> is used, as the project follows a predefined execution plan based on customer requirements.</t>
    </r>
  </si>
  <si>
    <t>Changes in estimations communicated to stakeholders and approved</t>
  </si>
  <si>
    <t xml:space="preserve">Estimation available in JIRA Tool (Confluence)
</t>
  </si>
  <si>
    <r>
      <t xml:space="preserve">Jira is not used for estimation or project planning. Project activities are maintained </t>
    </r>
    <r>
      <rPr>
        <b/>
        <sz val="11"/>
        <color theme="1"/>
        <rFont val="Calibri"/>
        <family val="2"/>
        <scheme val="minor"/>
      </rPr>
      <t>in Excel due to user license limitations.</t>
    </r>
  </si>
  <si>
    <t xml:space="preserve">Estimation changes logged and tracked 
</t>
  </si>
  <si>
    <t>No contingency buffer is maintained because effort estimations are not prepared. The project is executed within the agreed three-month timeline defined in the SOW.</t>
  </si>
  <si>
    <t>Contingency included in estimation</t>
  </si>
  <si>
    <t>Team Allocation</t>
  </si>
  <si>
    <t>Team request raised and approved</t>
  </si>
  <si>
    <t>The required resources were identified and allocated for the project based on the approved SOW and project requirements.</t>
  </si>
  <si>
    <t>Team allocated to the project (number of resources confirmed)</t>
  </si>
  <si>
    <t>The project utilizes shared resources, including a QA Architect, ML Architect, Developers, Senior QA Engineer, Technical Writer, Graphic Designer, and Project Manager (PM). Resources are allocated based on project needs.</t>
  </si>
  <si>
    <t>Project Buffers allocated to the project</t>
  </si>
  <si>
    <t>No Buffers</t>
  </si>
  <si>
    <t>Roles and responsibilities communicated to all team members</t>
  </si>
  <si>
    <t>Roles and responsibilities are communicated during the project kick-off meeting and throughout project execution.</t>
  </si>
  <si>
    <t>Team members onboarded with required system/access rights</t>
  </si>
  <si>
    <t>Team members have the required access to project repositories, development tools, and project documentation to perform their assigned activities.</t>
  </si>
  <si>
    <t>Team performance monitoring process defined</t>
  </si>
  <si>
    <t>Team performance and project progress are monitored through Daily Stand-up Meetings (DSMs), bi-weekly status calls, and Weekly Status Reports (WSRs).</t>
  </si>
  <si>
    <t>Backup/reserve resources identified</t>
  </si>
  <si>
    <t>Skill gaps identified and training planned</t>
  </si>
  <si>
    <t>Trainings based on skills planned and executed</t>
  </si>
  <si>
    <t>Kick-off</t>
  </si>
  <si>
    <t>Kick-off conducted for the project</t>
  </si>
  <si>
    <t>Kick-off was done for the project and it was condcuted in april 2026</t>
  </si>
  <si>
    <t>Kick-off meeting conducted with all relevant team members</t>
  </si>
  <si>
    <t>The kick-off meeting was attended by the project team and relevant stakeholders to discuss the project objectives and execution plan.</t>
  </si>
  <si>
    <t>Minutes of Meeting (MOM) for kick-off shared with all relevant stakeholders</t>
  </si>
  <si>
    <t>The Minutes of Meeting (MoM) were documented and shared with the relevant stakeholders for reference and action</t>
  </si>
  <si>
    <t>Presentation and attendance record available</t>
  </si>
  <si>
    <t>The kick-off presentation and meeting attendance records were available for review.</t>
  </si>
  <si>
    <t>Project objectives, scope, and execution approach discussed</t>
  </si>
  <si>
    <t>The project objectives, scope, deliverables, timelines, and Agile execution approach were discussed during the kick-off meeting.</t>
  </si>
  <si>
    <t>Communication plan and reporting structure shared</t>
  </si>
  <si>
    <t>The communication plan includes Daily Stand-up Meetings (DSMs), bi-weekly status calls, and Weekly Status Reports (WSRs) to monitor project progress and communicate updates to stakeholders.</t>
  </si>
  <si>
    <t>Initial risks and assumptions discussed</t>
  </si>
  <si>
    <t xml:space="preserve">ERP </t>
  </si>
  <si>
    <t>ERP Setup</t>
  </si>
  <si>
    <t>Project clearly created in ERP system with correct start/end dates</t>
  </si>
  <si>
    <t>The project is created in the ERP system and is renewed every three months as per the project cycle.</t>
  </si>
  <si>
    <t>Resources allocated to the project in ERP and roles assigned</t>
  </si>
  <si>
    <t>Resources have been allocated in the ERP system with the appropriate roles and responsibilities assigned.</t>
  </si>
  <si>
    <t>Resource percentage allocation correctly reflected in ERP</t>
  </si>
  <si>
    <t>The resource percentage allocations are accurately reflected in the ERP system.</t>
  </si>
  <si>
    <t>Project Planning</t>
  </si>
  <si>
    <t>Project Plan Communication</t>
  </si>
  <si>
    <t xml:space="preserve">Project Plan document created (CM, RSKM, Communication, Resource, Metrics/SLA) </t>
  </si>
  <si>
    <t xml:space="preserve">The PMP has been created however, it does not contain all the required details.Several required sections, including the Communication Plan, Change Management Plan, Risk Management Plan, and other project management details, are missing or lack sufficient information.
				</t>
  </si>
  <si>
    <t xml:space="preserve">PMP document approved and version-controlled </t>
  </si>
  <si>
    <t>Project Plan shared with the team to understand execution methodology</t>
  </si>
  <si>
    <t>Resource plan developed</t>
  </si>
  <si>
    <t>It is a part of Kick-off PPT.</t>
  </si>
  <si>
    <t>Communication plan agreed and informed to all stakeholders</t>
  </si>
  <si>
    <t>A formal communication plan is not documented. However, project updates and communications are shared with the client during scheduled meetings.</t>
  </si>
  <si>
    <t xml:space="preserve">Escalation process defined and communicated </t>
  </si>
  <si>
    <t>This is a Part of Kick-off PPT</t>
  </si>
  <si>
    <t>Service Level Agreement (SLA) defined and documented for project</t>
  </si>
  <si>
    <t>SLAs have been defined for each use case, with all features planned to be delivered within a three-month project timeline.</t>
  </si>
  <si>
    <t>Tools/Access to system / Required Infra available</t>
  </si>
  <si>
    <t>Tools and access are available for the project team.</t>
  </si>
  <si>
    <t>Stakeholder sign-off on project plan obtained</t>
  </si>
  <si>
    <t>There is no project plan created for the porject.</t>
  </si>
  <si>
    <t>Access request for the team members of Tools/System</t>
  </si>
  <si>
    <t>Access are availble to the required team members.</t>
  </si>
  <si>
    <t>Requirement Management</t>
  </si>
  <si>
    <t>Requirement Gathering</t>
  </si>
  <si>
    <t>Methods of requirement gathering defined (interviews, workshops, surveys, etc.)</t>
  </si>
  <si>
    <t>Not Clarified</t>
  </si>
  <si>
    <r>
      <t xml:space="preserve">No evidence  for this section. </t>
    </r>
    <r>
      <rPr>
        <b/>
        <sz val="11"/>
        <color theme="1"/>
        <rFont val="Calibri"/>
        <family val="2"/>
        <scheme val="minor"/>
      </rPr>
      <t>The requirements are provided by the client with a predefined timeline, and each feature is expected to be delivered within a three-month project duration.</t>
    </r>
  </si>
  <si>
    <t>Requirement received from client to the team in any format (Staff-Aug )</t>
  </si>
  <si>
    <t>BRD/ Product Backlog Created</t>
  </si>
  <si>
    <t>Use cases and user story defined</t>
  </si>
  <si>
    <t>Functional and Non-Functional Requirements called out</t>
  </si>
  <si>
    <t>Requirements approved by client SPOC</t>
  </si>
  <si>
    <t>Definition of Done/ Acceptance criteria for requirements established</t>
  </si>
  <si>
    <t xml:space="preserve">Requirement traceability matrix (RTM) created </t>
  </si>
  <si>
    <t>Prioritization of requirements(Medium, Low , High)</t>
  </si>
  <si>
    <t>Requirement Understanding established in the team</t>
  </si>
  <si>
    <t>Security Requirements identified (Coding and Test Data)</t>
  </si>
  <si>
    <t>If the project is related to the Personally  Identification information(PII)</t>
  </si>
  <si>
    <t xml:space="preserve">PII Included in a Project </t>
  </si>
  <si>
    <t>Design</t>
  </si>
  <si>
    <t>High Level Design Created</t>
  </si>
  <si>
    <t>Low Level Design Created</t>
  </si>
  <si>
    <t>Prototype/wireframe created(Figma/Lucid chart)</t>
  </si>
  <si>
    <t>This is a server benchmarking project and does not involve UI development therefore, prototypes or wireframes are not required.</t>
  </si>
  <si>
    <t>Mockups or screen designs reviewed with stakeholders(Client)</t>
  </si>
  <si>
    <t>Since the project does not include UI or screen development, mockup reviews are not applicable.</t>
  </si>
  <si>
    <t>Design covers all functional and non-functional requirements</t>
  </si>
  <si>
    <t>Security controls addressed in design documentation</t>
  </si>
  <si>
    <t>Design document versions tracked and maintained</t>
  </si>
  <si>
    <t>Technical documentation created (architecture diagrams, database schemas, interfaces)</t>
  </si>
  <si>
    <t>Client approvals obtained for HLD and LLD documents - Technical Documents</t>
  </si>
  <si>
    <t>Sprint Execution</t>
  </si>
  <si>
    <t>Sprint Planning meeting</t>
  </si>
  <si>
    <t>Team capacity planning done before each sprint</t>
  </si>
  <si>
    <t>Although the project follows the Agile methodology, Agile practices are not being fully implemented. Product Backlog and Sprint Backlog are not maintained in a dedicated Agile tool. Instead, the team uses Excel to track the progress of user stories due to tool limitations.</t>
  </si>
  <si>
    <t>Sprint goals defined and communicated to the team</t>
  </si>
  <si>
    <t>Sprint Plan created in JIRA</t>
  </si>
  <si>
    <t>Sprint Backlog Created</t>
  </si>
  <si>
    <t>User stories estimated and sized (Story Points / Hours / Days)</t>
  </si>
  <si>
    <t>Size of user stories definition defined (for Agile) - Small,Medium,Large</t>
  </si>
  <si>
    <t>Acceptance criteria for user stories clearly defined</t>
  </si>
  <si>
    <t>Issues and dependencies identified</t>
  </si>
  <si>
    <t>Stories broken down into actionable tasks</t>
  </si>
  <si>
    <t>Task allocated to the team members</t>
  </si>
  <si>
    <t xml:space="preserve">                               Sprint Planning Meeting conducted with all team members (developers, testers, scrum master, product owner)</t>
  </si>
  <si>
    <t xml:space="preserve">Sprint Execution </t>
  </si>
  <si>
    <t>Sprint backlog reviewed and accepted by Product Owner</t>
  </si>
  <si>
    <t>no agile is being followed and sprint backlog due to having a limitations.</t>
  </si>
  <si>
    <t>Work progress monitored against sprint goals</t>
  </si>
  <si>
    <t>Bottlenecks or blockers identified and discussed during daily stand-ups</t>
  </si>
  <si>
    <t>Task progress updated in project management tool</t>
  </si>
  <si>
    <t>Demo done at the end of the sprint</t>
  </si>
  <si>
    <t>Sprint Closure</t>
  </si>
  <si>
    <t>All planned sprint tasks/stories completed</t>
  </si>
  <si>
    <t xml:space="preserve">No Sprint is being followed </t>
  </si>
  <si>
    <t>Incomplete user stories documented for next sprint</t>
  </si>
  <si>
    <t xml:space="preserve">It is a part of Excel sheet </t>
  </si>
  <si>
    <t>Dependencies for next sprint identified and communicated</t>
  </si>
  <si>
    <t>No Scrum ceremonies are followed for the project except the Daily Stand-up meetings.</t>
  </si>
  <si>
    <t>Sprint metrics (task baords, velocity, burn-down graphs) updated</t>
  </si>
  <si>
    <t>Retrospective conducted and improvement actions identified</t>
  </si>
  <si>
    <t>Action items from retrospectives tracked to closure</t>
  </si>
  <si>
    <t>Confirmation that all team members are aware of closure and next sprint planning</t>
  </si>
  <si>
    <t>Execution</t>
  </si>
  <si>
    <t>Deliverables Communication</t>
  </si>
  <si>
    <t>Deliverables expected for the project communicated to the team</t>
  </si>
  <si>
    <t xml:space="preserve">Deliverables have been communicated to the team </t>
  </si>
  <si>
    <t>Deliverables tracking mechanism in place (JIRA, Excel)</t>
  </si>
  <si>
    <t>It is being maiantined in the Excel</t>
  </si>
  <si>
    <t>Any changes or updates to deliverables communicated promptly</t>
  </si>
  <si>
    <t>Coding</t>
  </si>
  <si>
    <t>Code Quality &amp; Standards</t>
  </si>
  <si>
    <t>Coding standards established and followed</t>
  </si>
  <si>
    <t>Coding guidelines are being followed for the project.</t>
  </si>
  <si>
    <t>Secure coding practices followed</t>
  </si>
  <si>
    <t>Code reviews conducted by (Name)</t>
  </si>
  <si>
    <t>Code reviews are being done by the architect</t>
  </si>
  <si>
    <t>Code reviews conducted before check-in or merge</t>
  </si>
  <si>
    <t>Code reviews are conducted by the Architect. However, the review comments are not documented or tracked in any tool. Although code reviews are performed for all code changes, the lack of documented review comments limits traceability not evidenced.</t>
  </si>
  <si>
    <t>Code review comments tracked and closed</t>
  </si>
  <si>
    <t>Code quality issues identified, reviewed, and resolved</t>
  </si>
  <si>
    <t>Code Testing</t>
  </si>
  <si>
    <t xml:space="preserve">Unit test cases created </t>
  </si>
  <si>
    <t>Unit test cases executed</t>
  </si>
  <si>
    <t>Code coverage metrics maintained</t>
  </si>
  <si>
    <t>Unit Tests results validated</t>
  </si>
  <si>
    <t>UT created for every Commit</t>
  </si>
  <si>
    <t>Defects found in UT tracked to closure(Optional)</t>
  </si>
  <si>
    <t>Testing</t>
  </si>
  <si>
    <t xml:space="preserve">Test plan Created </t>
  </si>
  <si>
    <t xml:space="preserve">	Test results and reports are maintained at SharePoint in xls and shared with the customer as well</t>
  </si>
  <si>
    <t xml:space="preserve">Test plan  reviewed and approved by manager/Client </t>
  </si>
  <si>
    <t xml:space="preserve">                            Types of testing identified: Functional, Non-Functional, Smoke, Regression, UAT, Performance, Security and Load</t>
  </si>
  <si>
    <t>Performance and UAT testing is being done for the project</t>
  </si>
  <si>
    <t>Detailed test cases created for all requirements</t>
  </si>
  <si>
    <t>Test Cases reviewed by QA Manager</t>
  </si>
  <si>
    <t>Test Cases approved/agreed by Client</t>
  </si>
  <si>
    <t>Automation test scripts created</t>
  </si>
  <si>
    <t xml:space="preserve">Test cases executed as per the test plan </t>
  </si>
  <si>
    <t>Integration testing executed</t>
  </si>
  <si>
    <t>Functional testing executed</t>
  </si>
  <si>
    <t>Non-functional testing executed (Regression/Sanity / Performance/Security/Load testing)</t>
  </si>
  <si>
    <t>Inference testing and benchmarking testing are performed to validate the results.</t>
  </si>
  <si>
    <t>Sanity testing performed after bug fixes</t>
  </si>
  <si>
    <t>Defect related metrics tracked</t>
  </si>
  <si>
    <t xml:space="preserve">Test reports generated </t>
  </si>
  <si>
    <t>Test Summary Report created and shared with stakeholder</t>
  </si>
  <si>
    <t>Defect Management</t>
  </si>
  <si>
    <t xml:space="preserve">Defects identified during testing </t>
  </si>
  <si>
    <t>Defects raised against failed test cases</t>
  </si>
  <si>
    <t>Defect logged in a defect tracking tool (JIRA, Azure DevOps, Bugzilla)</t>
  </si>
  <si>
    <t xml:space="preserve">Defects assigned to the relevant team members </t>
  </si>
  <si>
    <t xml:space="preserve">            Defect resolution status tracked and updated in tool (Open → In Progress → Fixed → Verified → Closed)</t>
  </si>
  <si>
    <t xml:space="preserve">       Complete defect lifecycle followed – Raise, Log, Prioritize, Assign, Fix, Retest, Close, Analyze, Improve.</t>
  </si>
  <si>
    <t>Defects summary report created and shared with stakeholder</t>
  </si>
  <si>
    <t>UAT</t>
  </si>
  <si>
    <t xml:space="preserve">UAT Test cases Identified </t>
  </si>
  <si>
    <t>UAT being done by the client end</t>
  </si>
  <si>
    <t xml:space="preserve">UAT Test cases reviewed and approved by client </t>
  </si>
  <si>
    <t>UAT executed as per test plan</t>
  </si>
  <si>
    <t xml:space="preserve">Defects/issues logged during UAT </t>
  </si>
  <si>
    <t>UAT execution results  and communicated to relevant team</t>
  </si>
  <si>
    <t>UAT sign-off received from business/client</t>
  </si>
  <si>
    <t>Security Testing</t>
  </si>
  <si>
    <t>Vulnerability and penetration test results recorded</t>
  </si>
  <si>
    <t>Release</t>
  </si>
  <si>
    <t>Pre- Release</t>
  </si>
  <si>
    <t>Completed all planned development tasks</t>
  </si>
  <si>
    <t>Code reviewed comments closed</t>
  </si>
  <si>
    <t>Code merged into main/release branch</t>
  </si>
  <si>
    <t>Unit test cases passed</t>
  </si>
  <si>
    <t>All test cases passed and defects closed</t>
  </si>
  <si>
    <t>Deployment</t>
  </si>
  <si>
    <t>Pre-production</t>
  </si>
  <si>
    <t>Deployment to staging environment completed</t>
  </si>
  <si>
    <t>Smoke testing / basic functionality checks executed</t>
  </si>
  <si>
    <t>Confirm database and configuration updates</t>
  </si>
  <si>
    <t>Created and share release notes for every production release</t>
  </si>
  <si>
    <t>User guide and knowledge base updated</t>
  </si>
  <si>
    <t>Conducted release-related calls/meetings with stakeholders</t>
  </si>
  <si>
    <t>Production Deployment</t>
  </si>
  <si>
    <t>Deploy the new release to production</t>
  </si>
  <si>
    <t>Sanity checks performed post-production deployment</t>
  </si>
  <si>
    <t>Release communicated to users/stakeholders</t>
  </si>
  <si>
    <t>Handover session for client planned for the release</t>
  </si>
  <si>
    <t>Deliverables verified against release plan</t>
  </si>
  <si>
    <t>Acceptance on Deliverables/Released Product available</t>
  </si>
  <si>
    <t>Monitoring</t>
  </si>
  <si>
    <t>Communication</t>
  </si>
  <si>
    <t>Meetings planned as per Communication Plan</t>
  </si>
  <si>
    <t xml:space="preserve">MOM created and shared for relevant meetings </t>
  </si>
  <si>
    <t>Action items from all the MOM are being tracked to closure</t>
  </si>
  <si>
    <t xml:space="preserve">Dependencies identified and communicated </t>
  </si>
  <si>
    <t>Client Reporting</t>
  </si>
  <si>
    <t>Weekly/Monthly</t>
  </si>
  <si>
    <t>Weekly Status Report prepared</t>
  </si>
  <si>
    <t>WSR is being  created for the project</t>
  </si>
  <si>
    <t>Weekly Status Report shared with client</t>
  </si>
  <si>
    <t xml:space="preserve">This is being shared with the client as WSR </t>
  </si>
  <si>
    <t>WSR reviewed before sharing</t>
  </si>
  <si>
    <t>WSR gets reviewed before sharing it to thr client.</t>
  </si>
  <si>
    <t>Risks/issues for the week updated and communicated</t>
  </si>
  <si>
    <t>Monthly Status Review meeting Done</t>
  </si>
  <si>
    <t>PM is connecting with the client twice a week</t>
  </si>
  <si>
    <t>MOM for Monthly Status meeting shared</t>
  </si>
  <si>
    <t>Monthly Status Report shared with client</t>
  </si>
  <si>
    <t>Quarterly Activities</t>
  </si>
  <si>
    <t xml:space="preserve">QBR Meeting Conducted </t>
  </si>
  <si>
    <t>QBR is not done for this it is recommneded to have a QBR.</t>
  </si>
  <si>
    <t>Quarterly Report  shared</t>
  </si>
  <si>
    <t>MOM for Quarterly meeting shared</t>
  </si>
  <si>
    <t>Client feedback from QBR captured and documented(Action Item)</t>
  </si>
  <si>
    <t>Client Communication</t>
  </si>
  <si>
    <t>Escalation matrix defined and shared</t>
  </si>
  <si>
    <t>The escalation matrix is defined and communicated to the project team and relevant stakeholders to ensure timely resolution of issues.</t>
  </si>
  <si>
    <t>Risks and mitigation plans communicated to the client</t>
  </si>
  <si>
    <r>
      <t xml:space="preserve">One risk not updated to client regarding </t>
    </r>
    <r>
      <rPr>
        <b/>
        <sz val="11"/>
        <color theme="1"/>
        <rFont val="Calibri"/>
        <family val="2"/>
        <scheme val="minor"/>
      </rPr>
      <t>Architect and Project Manager are shared across multiple projects. While this is not currently identified as a project risk, managing customer calls and schedules across multiple engagements remains a challenge.</t>
    </r>
  </si>
  <si>
    <t>Project KPIs / performance metrics reviewed with the client</t>
  </si>
  <si>
    <t>Client feedback or acknowledgment received</t>
  </si>
  <si>
    <t>Client appreciation and feedback have been received and are available in the email records.</t>
  </si>
  <si>
    <t>Changes communicated to the client and agreed upon (WSR,MSR)</t>
  </si>
  <si>
    <t>Project updates, changes, and progress are communicated to the client through Weekly Status Reports (WSRs) and scheduled client calls. Internal MSR dashboards are maintained for monitoring project status.</t>
  </si>
  <si>
    <t>Internal Monitoring</t>
  </si>
  <si>
    <t>Performance Tracking</t>
  </si>
  <si>
    <t>Monthly Dashboard (MSR) Created</t>
  </si>
  <si>
    <t>MSR internal dashboards are created for the project.</t>
  </si>
  <si>
    <t>Monthly Dashboard (MSR) Reviewed (Director)</t>
  </si>
  <si>
    <t>This is being reviewed by the Director.</t>
  </si>
  <si>
    <t>Monthly Dashboard (MSR) shared with SEPG</t>
  </si>
  <si>
    <t>All relevant documents have been shared with the SEPG Team.</t>
  </si>
  <si>
    <t>Daily Stand Up meetings conducted</t>
  </si>
  <si>
    <t>Daily Stand-up Meetings (DSMs) are conducted on a daily basis with the project team to review progress, discuss ongoing tasks, and address any blockers.</t>
  </si>
  <si>
    <t>Impediments tracking done</t>
  </si>
  <si>
    <t>Lesson Learned/ What went well/ Areas to improve recorded and tracked</t>
  </si>
  <si>
    <t>Appreciations/Concerns collected from the client</t>
  </si>
  <si>
    <t>Client appreciation and feedback are available in the email records..</t>
  </si>
  <si>
    <t>Risk Management</t>
  </si>
  <si>
    <t>Planning and Documentation</t>
  </si>
  <si>
    <t>Risk Management Plan Established</t>
  </si>
  <si>
    <r>
      <t xml:space="preserve">This is risk which is not a part ios risk register- </t>
    </r>
    <r>
      <rPr>
        <b/>
        <sz val="11"/>
        <color theme="1"/>
        <rFont val="Calibri"/>
        <family val="2"/>
        <scheme val="minor"/>
      </rPr>
      <t xml:space="preserve"> Architect and Project Manager are shared across multiple projects. While this is not currently identified as a project risk, managing customer calls and schedules across multiple engagements remains a challenge.</t>
    </r>
  </si>
  <si>
    <t>Risk mitigation and contingency identified</t>
  </si>
  <si>
    <t>Risk Register Created and maintained</t>
  </si>
  <si>
    <t xml:space="preserve">Risk owners / responsible persons assigned for each risk </t>
  </si>
  <si>
    <t>Risk priority identified - High , Medium, Low</t>
  </si>
  <si>
    <t>Risks communicated as part of Meetings/MOM</t>
  </si>
  <si>
    <t>Monitoring and Communication</t>
  </si>
  <si>
    <t>Risk are monitored regularly</t>
  </si>
  <si>
    <t>Risks communicated timely to all stakeholders</t>
  </si>
  <si>
    <t>Escalation triggered for critical risks</t>
  </si>
  <si>
    <t>Risk status updated regularly (Open / Mitigated / Closed)</t>
  </si>
  <si>
    <t>Risk dashboard or report shared periodically</t>
  </si>
  <si>
    <t>Review and Closure</t>
  </si>
  <si>
    <t xml:space="preserve">Risks reviewed in scheduled project meetings	</t>
  </si>
  <si>
    <t>Lesson learned from risk management documented</t>
  </si>
  <si>
    <t>Project Metrics</t>
  </si>
  <si>
    <t>Metrics</t>
  </si>
  <si>
    <t>Metrics for the project are identified and clearly defined</t>
  </si>
  <si>
    <t>Metrics are communicated to stakeholders</t>
  </si>
  <si>
    <t>Metrics are being captured</t>
  </si>
  <si>
    <t>Metrics data is being analyzed</t>
  </si>
  <si>
    <t>Change management</t>
  </si>
  <si>
    <t>Change control</t>
  </si>
  <si>
    <t>Change Management process defined for the project</t>
  </si>
  <si>
    <t>Change Management activities are not applicable at this stage of the project. All processes will be activated if and when change requests arise</t>
  </si>
  <si>
    <t xml:space="preserve">Change Requests created as per defined format </t>
  </si>
  <si>
    <t>Change Log created and maintained</t>
  </si>
  <si>
    <t>Impact analysis done for each change request</t>
  </si>
  <si>
    <t xml:space="preserve">Approvals on CR's available </t>
  </si>
  <si>
    <t>Verification and validation post-implementation of changes</t>
  </si>
  <si>
    <t>Lessons learned from change captured</t>
  </si>
  <si>
    <t>Changes in Team</t>
  </si>
  <si>
    <t xml:space="preserve">Deactivation records for offboarding team members </t>
  </si>
  <si>
    <t>No onboarding or offboarding activities occurred during this reporting period. All records will be maintained if such activities arise</t>
  </si>
  <si>
    <t>Access revoked across all systems (VPN, Git, servers, trackers, email)</t>
  </si>
  <si>
    <t>Handover of tasks/work items completed and reviewed</t>
  </si>
  <si>
    <t>Project asset return confirmed(Laptops, ID Badges, Security devices)</t>
  </si>
  <si>
    <t>Activation Record for onboarding replacement team members</t>
  </si>
  <si>
    <t>Access provisioning completed (tools, systems, repositories, emails)</t>
  </si>
  <si>
    <t>Knowledge Transfer (KT)</t>
  </si>
  <si>
    <t xml:space="preserve">KT for new Onboarding Resource </t>
  </si>
  <si>
    <t>Reverse KT conducted for the new team member</t>
  </si>
  <si>
    <t>KT Session documented and shared</t>
  </si>
  <si>
    <t>Incident management</t>
  </si>
  <si>
    <t>Logging and Resolution</t>
  </si>
  <si>
    <t>Incident Log Created</t>
  </si>
  <si>
    <t>No incidents reported for this project at this time.</t>
  </si>
  <si>
    <t>Incident Communicated to all required stakeholders</t>
  </si>
  <si>
    <t>Corrective Actions Identified</t>
  </si>
  <si>
    <t>Incidents Tracked to Closure</t>
  </si>
  <si>
    <t>Communication Management</t>
  </si>
  <si>
    <t>Client calls conducted as per communication plan</t>
  </si>
  <si>
    <t>Client calls are conducted as per the agreed communication plan, twice a week on Tuesdays and Thursdays.</t>
  </si>
  <si>
    <t>This is a part of Kick-off PPT.</t>
  </si>
  <si>
    <t>Risks and mitigation plans communicated to client</t>
  </si>
  <si>
    <t>Risk and mitigation plan are a part of Kick-off PPT</t>
  </si>
  <si>
    <t>Commercials</t>
  </si>
  <si>
    <t>Billing &amp; Tracking</t>
  </si>
  <si>
    <t>Invoices raised as per SOW</t>
  </si>
  <si>
    <t>Invoices are raised in accordance with the commercial terms and milestones defined in the approved SOW.</t>
  </si>
  <si>
    <t>Payment terms adhered to for all invoices</t>
  </si>
  <si>
    <t>All invoices are clear</t>
  </si>
  <si>
    <t>Billing/Invoices status shared with the client</t>
  </si>
  <si>
    <t>Commercials tracked for the project</t>
  </si>
  <si>
    <t>All raised invoices cleared</t>
  </si>
  <si>
    <t>All invoices raised for the project have been cleared as per the agreed payment terms.</t>
  </si>
  <si>
    <t xml:space="preserve">If the payment is in INR (GST 18 %) Included or not </t>
  </si>
  <si>
    <t>Review/Audit</t>
  </si>
  <si>
    <t>Issue Resolution</t>
  </si>
  <si>
    <t>Audit conducted for the Project</t>
  </si>
  <si>
    <t>This is the first Audit Conducted for the project.</t>
  </si>
  <si>
    <t>RCA Conducted for the findings</t>
  </si>
  <si>
    <t xml:space="preserve">Not Applicable 		
</t>
  </si>
  <si>
    <t>Action taken and status updated for the findings</t>
  </si>
  <si>
    <t>Action plan Submitted on Time</t>
  </si>
  <si>
    <t>Re-audit or follow-up audit conducted where required (For Project)</t>
  </si>
  <si>
    <t>Closure</t>
  </si>
  <si>
    <t xml:space="preserve">Project Closure </t>
  </si>
  <si>
    <t>Project Closure Report prepared</t>
  </si>
  <si>
    <t xml:space="preserve">Project closure activities are not applicable as the project is currently ongoing.		
</t>
  </si>
  <si>
    <t>Resources Released</t>
  </si>
  <si>
    <t>Skills updated</t>
  </si>
  <si>
    <t>Risks Shared with SEPG</t>
  </si>
  <si>
    <t>Lesson Learned Shared</t>
  </si>
  <si>
    <t>Closure officially signed off</t>
  </si>
  <si>
    <t>Acceptance received from client</t>
  </si>
  <si>
    <t>Project Specific Checkpoints</t>
  </si>
  <si>
    <t>CAM</t>
  </si>
  <si>
    <t>Capacity Planning done</t>
  </si>
  <si>
    <t>These project-specific artifacts are not applicable or not required for the current engagement model.</t>
  </si>
  <si>
    <t>SCON</t>
  </si>
  <si>
    <t>Business Continuity Planned and executed</t>
  </si>
  <si>
    <t>DAR</t>
  </si>
  <si>
    <t>Any Major decision or tool change</t>
  </si>
  <si>
    <t>SST</t>
  </si>
  <si>
    <t>Transitions planned and executed</t>
  </si>
  <si>
    <t xml:space="preserve"> Total Compliance Percentage</t>
  </si>
  <si>
    <t>Project Review Checklist - Staff Aug Projects</t>
  </si>
  <si>
    <t>Date of Audit</t>
  </si>
  <si>
    <t>Category</t>
  </si>
  <si>
    <t>Finding</t>
  </si>
  <si>
    <t>Area</t>
  </si>
  <si>
    <t>Details</t>
  </si>
  <si>
    <t>Cause</t>
  </si>
  <si>
    <t>Correction</t>
  </si>
  <si>
    <t>Prevention</t>
  </si>
  <si>
    <t>Status</t>
  </si>
  <si>
    <t>Closed Date</t>
  </si>
  <si>
    <t>Closure Comments</t>
  </si>
  <si>
    <t>Column1</t>
  </si>
  <si>
    <t>Observation</t>
  </si>
  <si>
    <t>Inadequate Code Review Documentation and Tracking</t>
  </si>
  <si>
    <r>
      <t>Code reviews are being done by architect along with the developer in person. All the review comments are acted and closed during the review itself. Due to this there is no formal record of forml code review process and comments</t>
    </r>
    <r>
      <rPr>
        <b/>
        <sz val="11"/>
        <color theme="1"/>
        <rFont val="Calibri"/>
        <family val="2"/>
        <scheme val="minor"/>
      </rPr>
      <t>.It is recommended to record the entire process.</t>
    </r>
  </si>
  <si>
    <t>Modular code so that we can reuse the code for other projects as we well. Configurable parameters as maintained. Git is used as repo</t>
  </si>
  <si>
    <t>Healthy branching practice to be followed</t>
  </si>
  <si>
    <t>Admin will ensure the merge requests are reviewed and updated</t>
  </si>
  <si>
    <t>Closed</t>
  </si>
  <si>
    <t>Inadequate Use of Project Management Tool for Project Monitoring</t>
  </si>
  <si>
    <t>The project was previously using JIRA Community Edition. Due to its limitations, the team is currently tracking project activities in Excel. It is recommended to adopt a project management tool that supports backlog management, sprint tracking, task tracking, and Agile ceremonies.</t>
  </si>
  <si>
    <t>As Jira open source was only available, we had limitation to add users. Though all tasks are added and updated in Jira</t>
  </si>
  <si>
    <t>Detailed Epics, story and subtasks were created in Jira. Due to the limitation, tracking of the tasks was done in xls</t>
  </si>
  <si>
    <t>Detailed wsr were shared and milestone dates were tracked to avoid any slipage</t>
  </si>
  <si>
    <t>In Progress</t>
  </si>
  <si>
    <t>Suggestion</t>
  </si>
  <si>
    <t>Quarterly Business Review (QBR) Not Conducted</t>
  </si>
  <si>
    <t>It is recommended to conduct the QBR and maintain the meeting records.</t>
  </si>
  <si>
    <t>The server perf projects are 3 months project only</t>
  </si>
  <si>
    <t xml:space="preserve">We are already proposing new ideas and are getting the new project before the previous one is completed. </t>
  </si>
  <si>
    <t>Need to check with the Biz dev team on the QBR ava from the customer</t>
  </si>
  <si>
    <t>We already have new projects with the new study been executed from the past. In addition, we are doing atleast 2 projects in parallel in each quarter</t>
  </si>
  <si>
    <t>Transcript — Project Phoenix: Process Audit Call</t>
  </si>
  <si>
    <t>Microsoft Teams Meeting Transcript</t>
  </si>
  <si>
    <t>Meeting: Process Audit – Project Phoenix</t>
  </si>
  <si>
    <t>Date: 15 September 2026</t>
  </si>
  <si>
    <t>Duration: 19 min 12 sec</t>
  </si>
  <si>
    <t>Participants: Priya Raghavan, Arjun Mehta, Neha Kapoor, Rohan Iyer</t>
  </si>
  <si>
    <t>Transcript generated by Microsoft Teams. Automated transcription may contain errors.</t>
  </si>
  <si>
    <t>Priya Raghavan   0:04</t>
  </si>
  <si>
    <t>Thanks, all, for making time for this. So this is a routine process conformity audit against the org's Agile Ceremonies and Estimation Guidelines. I'll ask about, um, how you run your ceremonies, how you size and track work, and how you're calculating velocity. It's not punitive, I just need honest answers so the findings are actually useful. Can we start with the basics — sprint cadence and tooling?</t>
  </si>
  <si>
    <t>Arjun Mehta   0:31</t>
  </si>
  <si>
    <t>Yeah, sure. So we run 2-week sprints, Monday to Friday, two weeks, all tracked in Jira. Sprints start on Mondays, like the standard says.</t>
  </si>
  <si>
    <t>Priya Raghavan   0:44</t>
  </si>
  <si>
    <t>Good. And do your Jira sprint start and end dates always match the actual calendar dates the ceremonies happen on?</t>
  </si>
  <si>
    <t>Arjun Mehta   0:52</t>
  </si>
  <si>
    <t>Yes — I own that, actually, I check it every sprint start. We had one sprint back in July where a public holiday pushed planning to a Tuesday, and I went in and adjusted the Jira sprint dates to match rather than just leaving it at the default.</t>
  </si>
  <si>
    <t>Priya Raghavan   1:11</t>
  </si>
  <si>
    <t>That's exactly the right instinct, that's good — drift there quietly corrupts the velocity and burndown numbers downstream. Let's talk about Backlog Refinement. How often, and what actually comes out of that session?</t>
  </si>
  <si>
    <t>Neha Kapoor   1:27</t>
  </si>
  <si>
    <t>We do one refinement session a week, about 45 minutes. I bring the top of the backlog, the team asks questions, and anything that's ready gets estimated and moved to "Ready for Sprint" in Jira.</t>
  </si>
  <si>
    <t>Priya Raghavan   1:41</t>
  </si>
  <si>
    <t>And do you keep at least one and a half sprints of Ready work in the backlog at all times, like the standard asks?</t>
  </si>
  <si>
    <t>Neha Kapoor   1:49</t>
  </si>
  <si>
    <t>Most of the time, yeah. We did dip below that in August, during a stakeholder reprioritization — but we've been back above it for the last three sprints.</t>
  </si>
  <si>
    <t>Priya Raghavan   2:00</t>
  </si>
  <si>
    <t>Okay, I'll note that as a minor historical gap, not a current one. Let's move to Sprint Planning. Walk me through how that runs.</t>
  </si>
  <si>
    <t>Rohan Iyer   2:10</t>
  </si>
  <si>
    <t>So we do it in two parts, like the guideline says. First half is Neha presenting the prioritized backlog and proposing a Sprint Goal, and we check capacity — who's on leave, holidays, that kind of thing — and pull stories up to that capacity. Second half is the team breaking the committed stories into sub-tasks and flagging dependencies.</t>
  </si>
  <si>
    <t>Priya Raghavan   2:31</t>
  </si>
  <si>
    <t>Can you give me an actual example — a capacity calculation from a recent sprint?</t>
  </si>
  <si>
    <t>Rohan Iyer   2:37</t>
  </si>
  <si>
    <t>Yeah, Sprint 31. We've got 7 engineers, 10 working days. Two people had 2 days of leave between them, so full capacity would've been 70 person-days, actual was 66. Our rolling 3-sprint average velocity was around 44 points, so we scaled that down to about 41 and planned to that.</t>
  </si>
  <si>
    <t>Priya Raghavan   2:58</t>
  </si>
  <si>
    <t>That's a clean, correct application of the capacity method in the guideline, good. Is the Sprint Goal always entered into the Jira Sprint Goal field itself, not just talked about out loud?</t>
  </si>
  <si>
    <t>Arjun Mehta   3:10</t>
  </si>
  <si>
    <t>Always. I actually won't let Planning close until that field's filled in — it's become a bit of a running joke on the team at this point.</t>
  </si>
  <si>
    <t>Priya Raghavan   3:19</t>
  </si>
  <si>
    <t>[laughs] Good, that discipline matters more than people think. Daily Standup — 15 minutes, same time every day?</t>
  </si>
  <si>
    <t>Rohan Iyer   3:28</t>
  </si>
  <si>
    <t>Yep, 9:30 every morning. What I did, what I'll do, blockers. Arjun logs the blocker if it's not resolved same-day.</t>
  </si>
  <si>
    <t>Priya Raghavan   3:38</t>
  </si>
  <si>
    <t>And board statuses get updated same-day — not batched later in the week?</t>
  </si>
  <si>
    <t>Rohan Iyer   3:44</t>
  </si>
  <si>
    <t>Same-day, yeah. Honestly that's partly self-interest, because our burndown looks terrible otherwise and Neha will ask about it in standup.</t>
  </si>
  <si>
    <t>Neha Kapoor   3:52</t>
  </si>
  <si>
    <t>[laughs] Guilty.</t>
  </si>
  <si>
    <t>Priya Raghavan   3:55</t>
  </si>
  <si>
    <t>Fair enough, whatever gets it done. Let's talk Sprint Review and Definition of Done. Walk me through what happens when a story actually gets marked Done.</t>
  </si>
  <si>
    <t>Neha Kapoor   4:05</t>
  </si>
  <si>
    <t>We demo the working software at Review, I check it against acceptance criteria, and if it's good I mark it Done and it counts for that sprint.</t>
  </si>
  <si>
    <t>Priya Raghavan   4:16</t>
  </si>
  <si>
    <t>So the guideline's Definition of Done also requires passing unit and integration tests, peer review, and no open critical or high-severity defects. Is that checked every time before something's marked Done, or is it mainly the acceptance-criteria piece?</t>
  </si>
  <si>
    <t>Rohan Iyer   4:32</t>
  </si>
  <si>
    <t>Honestly... acceptance criteria and peer review, yes, always, that's solid. Full regression — sorry, integration test pass — we've been a bit loose on that for stories that only touch one module. If it's like a small UI fix, we'll sometimes mark it Done off a quick manual check instead of waiting on the full suite, because that only runs nightly.</t>
  </si>
  <si>
    <t>Priya Raghavan   4:54</t>
  </si>
  <si>
    <t>Okay, I do want to flag that. It means some stories marked "Done" may not have actually cleared the full Definition of Done before being counted. That's a non-conformity against Section 7.2 of the standard, and it also means your velocity could be a little inflated relative to what the standard defines as Done. How often does that shortcut happen, roughly?</t>
  </si>
  <si>
    <t>Rohan Iyer   5:16</t>
  </si>
  <si>
    <t>Maybe one or two stories a sprint, out of seven or eight. Small ones, generally.</t>
  </si>
  <si>
    <t>Priya Raghavan   5:22</t>
  </si>
  <si>
    <t>Understood, I'll write that up with a recommendation — either gate "Done" on the automated suite regardless of story size, or explicitly scope a documented DoD exception for trivial UI fixes in your team working agreement, so it's a decision and not a drift. Let's move to Retrospective. What format, and what happens to the action items after?</t>
  </si>
  <si>
    <t>Arjun Mehta   5:44</t>
  </si>
  <si>
    <t>We use Start-Stop-Continue most sprints. Good discussion, honestly, the team's pretty open in that session.</t>
  </si>
  <si>
    <t>Priya Raghavan   5:52</t>
  </si>
  <si>
    <t>And the one to three action items that come out of it — are those logged as trackable Jira tasks with an owner and a target sprint, per the standard?</t>
  </si>
  <si>
    <t>Arjun Mehta   6:01</t>
  </si>
  <si>
    <t>...Not consistently, no. I write them on the retro board in Confluence, but I won't pretend they always make it into Jira as an actual tracked task. A few have just kind of sat on the Confluence page across two or three retros without anyone circling back to them.</t>
  </si>
  <si>
    <t>Priya Raghavan   6:19</t>
  </si>
  <si>
    <t>That's a second non-conformity — Section 5.5 requires action items as owned, dated Jira tasks, specifically so they don't get quietly lost, which is what's happened here. Can you give me an example of one that's stalled?</t>
  </si>
  <si>
    <t>Arjun Mehta   6:33</t>
  </si>
  <si>
    <t>Yeah — "Add a Blocked swimlane to the board." Came up in two separate retros, never actually got done because it never became a real ticket with an owner attached to it.</t>
  </si>
  <si>
    <t>Priya Raghavan   6:44</t>
  </si>
  <si>
    <t>That's a useful, concrete example for the report, thank you. Last area — velocity reporting. How do you calculate it, and what do you report?</t>
  </si>
  <si>
    <t>Neha Kapoor   6:54</t>
  </si>
  <si>
    <t>Sum of story points for what's Done at Review. We report the rolling 3-sprint average, like the guideline says.</t>
  </si>
  <si>
    <t>Priya Raghavan   7:02</t>
  </si>
  <si>
    <t>Are there any sprints where you've reported committed points instead of Done points — say, if something was ninety percent finished?</t>
  </si>
  <si>
    <t>Neha Kapoor   7:11</t>
  </si>
  <si>
    <t>There was one sprint — 29, I think — where two stories were basically done but didn't get demoed because Review got cut short by a client escalation. Arjun counted them anyway in that sprint's number, since the code was merged.</t>
  </si>
  <si>
    <t>Arjun Mehta   7:26</t>
  </si>
  <si>
    <t>Yeah, that's fair to call out. I shouldn't have counted those, they weren't actually accepted at Review.</t>
  </si>
  <si>
    <t>Priya Raghavan   7:33</t>
  </si>
  <si>
    <t>Right, so that's the third finding — partial or unaccepted work counted toward velocity, which the guideline's explicit about — there's no partial credit, and Done specifically means accepted at Review. Sounds like a small one-off, but I'll flag it so the rolling average can be corrected if needed.</t>
  </si>
  <si>
    <t>Priya Raghavan   7:54</t>
  </si>
  <si>
    <t>Overall, this is a solid picture. Cadence, Jira hygiene, Sprint Planning, and standups are all in good shape and clearly embedded as habits, not just performed for the audit. The gaps are all on the closing side — Definition of Done rigor on small stories, retro action items not consistently becoming tracked Jira tasks, and one instance of unaccepted work counted toward velocity. None of these are severe on their own, but together they're the kind of thing that quietly erodes trust in the metrics over time. I'll send a short written report with these three findings and some suggested corrective actions — could I get target dates from you for each, once you've discussed internally?</t>
  </si>
  <si>
    <t>Arjun Mehta   8:31</t>
  </si>
  <si>
    <t>Yes, we'll turn that around by end of week.</t>
  </si>
  <si>
    <t>Neha Kapoor   8:34</t>
  </si>
  <si>
    <t>Agreed.</t>
  </si>
  <si>
    <t>Priya Raghavan   8:36</t>
  </si>
  <si>
    <t>Great, thank you all — appreciate the candor, that's everything from my side.</t>
  </si>
  <si>
    <t>[Meeting ended at 8:41]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</si>
</sst>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7">
    <font>
      <sz val="11"/>
      <color theme="1"/>
      <name val="Calibri"/>
      <family val="2"/>
      <scheme val="minor"/>
    </font>
    <font>
      <sz val="10"/>
      <name val="Arial"/>
      <family val="2"/>
    </font>
    <font>
      <b/>
      <sz val="11"/>
      <color theme="1"/>
      <name val="Calibri"/>
      <family val="2"/>
      <scheme val="minor"/>
    </font>
    <font>
      <b/>
      <sz val="14"/>
      <color theme="1"/>
      <name val="Calibri"/>
      <family val="2"/>
      <scheme val="minor"/>
    </font>
    <font>
      <b/>
      <sz val="16"/>
      <color theme="1"/>
      <name val="Calibri"/>
      <family val="2"/>
      <scheme val="minor"/>
    </font>
    <font>
      <sz val="11"/>
      <color rgb="FFFF000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4"/>
      <color rgb="FF000000"/>
      <name val="Aptos Narrow"/>
      <family val="2"/>
    </font>
    <font>
      <sz val="11"/>
      <color rgb="FF000000"/>
      <name val="Aptos Narrow"/>
      <family val="2"/>
    </font>
    <font>
      <b/>
      <sz val="10"/>
      <color rgb="FF000000"/>
      <name val="Aptos Narrow"/>
      <family val="2"/>
    </font>
    <font>
      <sz val="10"/>
      <color rgb="FF000000"/>
      <name val="Aptos Narrow"/>
      <family val="2"/>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E8E8E8"/>
        <bgColor rgb="FF000000"/>
      </patternFill>
    </fill>
    <fill>
      <patternFill patternType="solid">
        <fgColor rgb="FF44B3E1"/>
        <bgColor rgb="FF000000"/>
      </patternFill>
    </fill>
    <fill>
      <patternFill patternType="solid">
        <fgColor theme="2" tint="-9.9978637043366805E-2"/>
        <bgColor indexed="64"/>
      </patternFill>
    </fill>
  </fills>
  <borders count="7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indexed="64"/>
      </top>
      <bottom style="medium">
        <color indexed="64"/>
      </bottom>
      <diagonal/>
    </border>
    <border>
      <left/>
      <right style="thin">
        <color rgb="FF000000"/>
      </right>
      <top style="thin">
        <color indexed="64"/>
      </top>
      <bottom style="thin">
        <color indexed="64"/>
      </bottom>
      <diagonal/>
    </border>
    <border>
      <left/>
      <right style="thin">
        <color rgb="FF000000"/>
      </right>
      <top style="thin">
        <color indexed="64"/>
      </top>
      <bottom style="medium">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medium">
        <color indexed="64"/>
      </top>
      <bottom style="thin">
        <color indexed="64"/>
      </bottom>
      <diagonal/>
    </border>
    <border>
      <left style="thin">
        <color rgb="FF000000"/>
      </left>
      <right/>
      <top style="thin">
        <color indexed="64"/>
      </top>
      <bottom/>
      <diagonal/>
    </border>
    <border>
      <left style="thin">
        <color rgb="FF000000"/>
      </left>
      <right/>
      <top/>
      <bottom/>
      <diagonal/>
    </border>
    <border>
      <left/>
      <right style="thin">
        <color indexed="64"/>
      </right>
      <top/>
      <bottom/>
      <diagonal/>
    </border>
    <border>
      <left style="thin">
        <color rgb="FF000000"/>
      </left>
      <right/>
      <top/>
      <bottom style="thin">
        <color indexed="64"/>
      </bottom>
      <diagonal/>
    </border>
    <border>
      <left/>
      <right style="thin">
        <color rgb="FF000000"/>
      </right>
      <top style="thin">
        <color indexed="64"/>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style="medium">
        <color indexed="64"/>
      </top>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1" fillId="0" borderId="0"/>
    <xf numFmtId="0" fontId="1" fillId="0" borderId="0"/>
  </cellStyleXfs>
  <cellXfs count="386">
    <xf numFmtId="0" fontId="0" fillId="0" borderId="0" xfId="0"/>
    <xf numFmtId="0" fontId="2" fillId="0" borderId="0" xfId="0" applyFont="1"/>
    <xf numFmtId="0" fontId="0" fillId="0" borderId="9" xfId="0" applyBorder="1"/>
    <xf numFmtId="0" fontId="0" fillId="0" borderId="0" xfId="0" applyAlignment="1">
      <alignment horizontal="left"/>
    </xf>
    <xf numFmtId="0" fontId="2" fillId="0" borderId="9" xfId="0" applyFont="1" applyBorder="1"/>
    <xf numFmtId="0" fontId="4" fillId="0" borderId="0" xfId="0" applyFont="1"/>
    <xf numFmtId="0" fontId="0" fillId="0" borderId="1" xfId="0" applyBorder="1"/>
    <xf numFmtId="0" fontId="0" fillId="0" borderId="2" xfId="0" applyBorder="1"/>
    <xf numFmtId="0" fontId="0" fillId="0" borderId="3" xfId="0" applyBorder="1"/>
    <xf numFmtId="0" fontId="0" fillId="0" borderId="8" xfId="0" applyBorder="1"/>
    <xf numFmtId="0" fontId="0" fillId="0" borderId="10" xfId="0" applyBorder="1"/>
    <xf numFmtId="0" fontId="0" fillId="0" borderId="0" xfId="0" applyAlignment="1">
      <alignment vertical="center" wrapText="1"/>
    </xf>
    <xf numFmtId="15" fontId="0" fillId="0" borderId="0" xfId="0" applyNumberFormat="1" applyAlignment="1">
      <alignment vertical="center" wrapText="1"/>
    </xf>
    <xf numFmtId="0" fontId="2" fillId="0" borderId="32" xfId="0" applyFont="1" applyBorder="1"/>
    <xf numFmtId="0" fontId="0" fillId="0" borderId="20" xfId="0" applyBorder="1"/>
    <xf numFmtId="0" fontId="0" fillId="0" borderId="32" xfId="0" applyBorder="1"/>
    <xf numFmtId="0" fontId="0" fillId="2" borderId="7" xfId="0" applyFill="1" applyBorder="1" applyAlignment="1">
      <alignment horizontal="left"/>
    </xf>
    <xf numFmtId="0" fontId="0" fillId="2" borderId="20" xfId="0" applyFill="1" applyBorder="1" applyAlignment="1">
      <alignment horizontal="left"/>
    </xf>
    <xf numFmtId="0" fontId="0" fillId="2" borderId="5" xfId="0" applyFill="1" applyBorder="1" applyAlignment="1">
      <alignment horizontal="left"/>
    </xf>
    <xf numFmtId="0" fontId="0" fillId="2" borderId="0" xfId="0" applyFill="1"/>
    <xf numFmtId="0" fontId="2" fillId="0" borderId="7" xfId="0" applyFont="1" applyBorder="1"/>
    <xf numFmtId="0" fontId="2" fillId="0" borderId="9" xfId="0" applyFont="1" applyBorder="1" applyAlignment="1">
      <alignment horizontal="left"/>
    </xf>
    <xf numFmtId="0" fontId="2" fillId="2" borderId="7" xfId="0" applyFont="1" applyFill="1" applyBorder="1"/>
    <xf numFmtId="0" fontId="2" fillId="2" borderId="9" xfId="0" applyFont="1" applyFill="1" applyBorder="1"/>
    <xf numFmtId="0" fontId="4" fillId="0" borderId="0" xfId="0" applyFont="1" applyAlignment="1">
      <alignment horizontal="center"/>
    </xf>
    <xf numFmtId="0" fontId="2" fillId="0" borderId="5" xfId="0" applyFont="1" applyBorder="1"/>
    <xf numFmtId="0" fontId="2" fillId="0" borderId="6" xfId="0" applyFont="1" applyBorder="1"/>
    <xf numFmtId="0" fontId="2" fillId="0" borderId="33" xfId="0" applyFont="1" applyBorder="1"/>
    <xf numFmtId="0" fontId="2" fillId="3" borderId="30" xfId="0" applyFont="1" applyFill="1" applyBorder="1"/>
    <xf numFmtId="1" fontId="0" fillId="0" borderId="0" xfId="0" applyNumberFormat="1" applyAlignment="1">
      <alignment horizontal="center"/>
    </xf>
    <xf numFmtId="1" fontId="0" fillId="0" borderId="36" xfId="0" applyNumberFormat="1" applyBorder="1" applyAlignment="1">
      <alignment horizontal="center"/>
    </xf>
    <xf numFmtId="2" fontId="0" fillId="0" borderId="0" xfId="0" applyNumberFormat="1" applyAlignment="1">
      <alignment horizontal="center"/>
    </xf>
    <xf numFmtId="2" fontId="0" fillId="0" borderId="36" xfId="0" applyNumberFormat="1" applyBorder="1" applyAlignment="1">
      <alignment horizontal="center"/>
    </xf>
    <xf numFmtId="0" fontId="2" fillId="2" borderId="7" xfId="0" applyFont="1" applyFill="1" applyBorder="1" applyAlignment="1">
      <alignment horizontal="left"/>
    </xf>
    <xf numFmtId="0" fontId="2" fillId="2" borderId="20" xfId="0" applyFont="1" applyFill="1" applyBorder="1" applyAlignment="1">
      <alignment horizontal="left"/>
    </xf>
    <xf numFmtId="0" fontId="2" fillId="2" borderId="5" xfId="0" applyFont="1" applyFill="1" applyBorder="1" applyAlignment="1">
      <alignment horizontal="left"/>
    </xf>
    <xf numFmtId="0" fontId="10" fillId="2" borderId="9" xfId="0" applyFont="1" applyFill="1" applyBorder="1"/>
    <xf numFmtId="0" fontId="11" fillId="2" borderId="7" xfId="0" applyFont="1" applyFill="1" applyBorder="1" applyAlignment="1">
      <alignment horizontal="left"/>
    </xf>
    <xf numFmtId="0" fontId="11" fillId="2" borderId="20" xfId="0" applyFont="1" applyFill="1" applyBorder="1" applyAlignment="1">
      <alignment horizontal="left"/>
    </xf>
    <xf numFmtId="0" fontId="11" fillId="2" borderId="5" xfId="0" applyFont="1" applyFill="1" applyBorder="1" applyAlignment="1">
      <alignment horizontal="left"/>
    </xf>
    <xf numFmtId="0" fontId="11" fillId="2" borderId="0" xfId="0" applyFont="1" applyFill="1"/>
    <xf numFmtId="0" fontId="0" fillId="2" borderId="7" xfId="0" applyFill="1" applyBorder="1"/>
    <xf numFmtId="0" fontId="0" fillId="2" borderId="20" xfId="0" applyFill="1" applyBorder="1"/>
    <xf numFmtId="0" fontId="0" fillId="2" borderId="5" xfId="0" applyFill="1" applyBorder="1"/>
    <xf numFmtId="0" fontId="0" fillId="0" borderId="34" xfId="0" applyBorder="1"/>
    <xf numFmtId="0" fontId="0" fillId="0" borderId="33" xfId="0" applyBorder="1"/>
    <xf numFmtId="0" fontId="0" fillId="0" borderId="6" xfId="0" applyBorder="1" applyAlignment="1">
      <alignment vertical="center"/>
    </xf>
    <xf numFmtId="1" fontId="0" fillId="0" borderId="36" xfId="0" applyNumberFormat="1" applyBorder="1" applyAlignment="1">
      <alignment horizontal="center" vertical="center"/>
    </xf>
    <xf numFmtId="0" fontId="14" fillId="7" borderId="27" xfId="0" applyFont="1" applyFill="1" applyBorder="1" applyAlignment="1">
      <alignment wrapText="1"/>
    </xf>
    <xf numFmtId="0" fontId="14" fillId="7" borderId="22" xfId="0" applyFont="1" applyFill="1" applyBorder="1" applyAlignment="1">
      <alignment wrapText="1"/>
    </xf>
    <xf numFmtId="0" fontId="14" fillId="7" borderId="21" xfId="0" applyFont="1" applyFill="1" applyBorder="1" applyAlignment="1">
      <alignment wrapText="1"/>
    </xf>
    <xf numFmtId="0" fontId="13" fillId="0" borderId="0" xfId="0" applyFont="1" applyAlignment="1">
      <alignment wrapText="1"/>
    </xf>
    <xf numFmtId="0" fontId="15" fillId="0" borderId="0" xfId="0" applyFont="1" applyAlignment="1">
      <alignment wrapText="1"/>
    </xf>
    <xf numFmtId="1" fontId="0" fillId="0" borderId="0" xfId="0" applyNumberFormat="1" applyAlignment="1">
      <alignment horizontal="center" vertical="center"/>
    </xf>
    <xf numFmtId="1" fontId="0" fillId="0" borderId="45" xfId="0" applyNumberFormat="1" applyBorder="1" applyAlignment="1">
      <alignment horizontal="center" vertical="center"/>
    </xf>
    <xf numFmtId="2" fontId="4" fillId="0" borderId="14" xfId="0" applyNumberFormat="1" applyFont="1" applyBorder="1" applyAlignment="1">
      <alignment horizontal="center" vertical="center"/>
    </xf>
    <xf numFmtId="0" fontId="0" fillId="5" borderId="0" xfId="0" applyFill="1" applyAlignment="1">
      <alignment vertical="center" wrapText="1"/>
    </xf>
    <xf numFmtId="0" fontId="0" fillId="0" borderId="0" xfId="0" applyAlignment="1">
      <alignment vertical="top" wrapText="1"/>
    </xf>
    <xf numFmtId="0" fontId="2" fillId="3" borderId="16" xfId="0" applyFont="1" applyFill="1" applyBorder="1" applyAlignment="1">
      <alignment vertical="top" wrapText="1"/>
    </xf>
    <xf numFmtId="0" fontId="2" fillId="0" borderId="9" xfId="0" applyFont="1" applyBorder="1" applyAlignment="1">
      <alignment horizontal="center" vertical="top" wrapText="1"/>
    </xf>
    <xf numFmtId="0" fontId="2" fillId="2" borderId="9" xfId="0" applyFont="1" applyFill="1" applyBorder="1" applyAlignment="1">
      <alignment horizontal="center" vertical="top" wrapText="1"/>
    </xf>
    <xf numFmtId="0" fontId="2" fillId="0" borderId="32" xfId="0" applyFont="1" applyBorder="1" applyAlignment="1">
      <alignment horizontal="center" vertical="top" wrapText="1"/>
    </xf>
    <xf numFmtId="0" fontId="0" fillId="0" borderId="0" xfId="0" applyAlignment="1">
      <alignment horizontal="center"/>
    </xf>
    <xf numFmtId="1" fontId="0" fillId="2" borderId="45" xfId="0" applyNumberFormat="1" applyFill="1" applyBorder="1" applyAlignment="1">
      <alignment horizontal="center" vertical="center"/>
    </xf>
    <xf numFmtId="1" fontId="2" fillId="3" borderId="14" xfId="0" applyNumberFormat="1" applyFont="1" applyFill="1" applyBorder="1" applyAlignment="1">
      <alignment horizontal="center" vertical="center"/>
    </xf>
    <xf numFmtId="0" fontId="2" fillId="3" borderId="14" xfId="0" applyFont="1" applyFill="1" applyBorder="1" applyAlignment="1">
      <alignment vertical="center"/>
    </xf>
    <xf numFmtId="1" fontId="2" fillId="3" borderId="15" xfId="0" applyNumberFormat="1" applyFont="1" applyFill="1" applyBorder="1" applyAlignment="1">
      <alignment horizontal="center" vertical="center"/>
    </xf>
    <xf numFmtId="2" fontId="2" fillId="3" borderId="14" xfId="0" applyNumberFormat="1" applyFont="1" applyFill="1" applyBorder="1" applyAlignment="1">
      <alignment horizontal="center" vertical="center"/>
    </xf>
    <xf numFmtId="1" fontId="0" fillId="0" borderId="0" xfId="0" applyNumberFormat="1"/>
    <xf numFmtId="0" fontId="11" fillId="2" borderId="20" xfId="0" applyFont="1" applyFill="1" applyBorder="1"/>
    <xf numFmtId="0" fontId="11" fillId="2" borderId="5" xfId="0" applyFont="1" applyFill="1" applyBorder="1"/>
    <xf numFmtId="0" fontId="2" fillId="0" borderId="9" xfId="0" applyFont="1" applyBorder="1" applyAlignment="1">
      <alignment horizontal="center" vertical="center" wrapText="1"/>
    </xf>
    <xf numFmtId="0" fontId="0" fillId="0" borderId="0" xfId="0"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25" xfId="0" applyBorder="1" applyAlignment="1">
      <alignment vertical="center"/>
    </xf>
    <xf numFmtId="0" fontId="9" fillId="2" borderId="9" xfId="0" applyFont="1" applyFill="1" applyBorder="1" applyAlignment="1">
      <alignment horizontal="center" vertical="top" wrapText="1"/>
    </xf>
    <xf numFmtId="0" fontId="9" fillId="2" borderId="9" xfId="0" applyFont="1" applyFill="1" applyBorder="1"/>
    <xf numFmtId="1" fontId="5" fillId="2" borderId="36" xfId="0" applyNumberFormat="1" applyFont="1" applyFill="1" applyBorder="1" applyAlignment="1">
      <alignment horizontal="center" vertical="center"/>
    </xf>
    <xf numFmtId="1" fontId="5" fillId="2" borderId="45" xfId="0" applyNumberFormat="1" applyFont="1" applyFill="1" applyBorder="1" applyAlignment="1">
      <alignment horizontal="center" vertical="center"/>
    </xf>
    <xf numFmtId="0" fontId="5" fillId="2" borderId="20" xfId="0" applyFont="1" applyFill="1" applyBorder="1"/>
    <xf numFmtId="0" fontId="5" fillId="2" borderId="5" xfId="0" applyFont="1" applyFill="1" applyBorder="1"/>
    <xf numFmtId="0" fontId="5" fillId="2" borderId="0" xfId="0" applyFont="1" applyFill="1"/>
    <xf numFmtId="0" fontId="16" fillId="0" borderId="36" xfId="0" applyFont="1" applyBorder="1" applyAlignment="1">
      <alignment horizontal="center" vertical="center"/>
    </xf>
    <xf numFmtId="2" fontId="2" fillId="3" borderId="15" xfId="0" applyNumberFormat="1" applyFont="1" applyFill="1" applyBorder="1" applyAlignment="1">
      <alignment vertical="center"/>
    </xf>
    <xf numFmtId="2" fontId="0" fillId="0" borderId="0" xfId="0" applyNumberFormat="1" applyAlignment="1">
      <alignment vertical="center"/>
    </xf>
    <xf numFmtId="2" fontId="0" fillId="0" borderId="7" xfId="0" applyNumberFormat="1" applyBorder="1" applyAlignment="1">
      <alignment horizontal="center" vertical="center"/>
    </xf>
    <xf numFmtId="1" fontId="0" fillId="0" borderId="51" xfId="0" applyNumberFormat="1" applyBorder="1" applyAlignment="1">
      <alignment horizontal="center" vertical="center"/>
    </xf>
    <xf numFmtId="1" fontId="0" fillId="0" borderId="46" xfId="0" applyNumberFormat="1" applyBorder="1" applyAlignment="1">
      <alignment horizontal="center" vertical="center"/>
    </xf>
    <xf numFmtId="2" fontId="4" fillId="0" borderId="9" xfId="0" applyNumberFormat="1" applyFont="1" applyBorder="1" applyAlignment="1">
      <alignment horizontal="center"/>
    </xf>
    <xf numFmtId="0" fontId="9" fillId="2" borderId="7" xfId="0" applyFont="1" applyFill="1" applyBorder="1" applyAlignment="1">
      <alignment horizontal="left"/>
    </xf>
    <xf numFmtId="0" fontId="9" fillId="2" borderId="20" xfId="0" applyFont="1" applyFill="1" applyBorder="1" applyAlignment="1">
      <alignment horizontal="left"/>
    </xf>
    <xf numFmtId="0" fontId="9" fillId="2" borderId="5" xfId="0" applyFont="1" applyFill="1" applyBorder="1" applyAlignment="1">
      <alignment horizontal="left"/>
    </xf>
    <xf numFmtId="0" fontId="9" fillId="2" borderId="7" xfId="0" applyFont="1" applyFill="1" applyBorder="1" applyAlignment="1">
      <alignment horizontal="center"/>
    </xf>
    <xf numFmtId="0" fontId="2" fillId="2" borderId="32" xfId="0" applyFont="1" applyFill="1" applyBorder="1" applyAlignment="1">
      <alignment horizontal="center" vertical="top" wrapText="1"/>
    </xf>
    <xf numFmtId="0" fontId="2" fillId="2" borderId="33" xfId="0" applyFont="1" applyFill="1" applyBorder="1"/>
    <xf numFmtId="0" fontId="9" fillId="2" borderId="33" xfId="0" applyFont="1" applyFill="1" applyBorder="1" applyAlignment="1">
      <alignment horizontal="center"/>
    </xf>
    <xf numFmtId="0" fontId="2" fillId="2" borderId="20" xfId="0" applyFont="1" applyFill="1" applyBorder="1"/>
    <xf numFmtId="0" fontId="2" fillId="0" borderId="45" xfId="0" applyFont="1" applyBorder="1" applyAlignment="1">
      <alignment horizontal="center" vertical="center"/>
    </xf>
    <xf numFmtId="0" fontId="2" fillId="0" borderId="66" xfId="0" applyFont="1" applyBorder="1" applyAlignment="1">
      <alignment horizontal="center" vertical="center"/>
    </xf>
    <xf numFmtId="0" fontId="2" fillId="0" borderId="0" xfId="0" applyFont="1" applyAlignment="1">
      <alignment vertical="center" wrapText="1"/>
    </xf>
    <xf numFmtId="0" fontId="2" fillId="0" borderId="45" xfId="0" applyFont="1" applyBorder="1" applyAlignment="1">
      <alignment horizontal="center" vertical="center" wrapText="1"/>
    </xf>
    <xf numFmtId="0" fontId="2" fillId="0" borderId="45" xfId="0" applyFont="1" applyBorder="1" applyAlignment="1">
      <alignment vertical="center"/>
    </xf>
    <xf numFmtId="1" fontId="0" fillId="0" borderId="51" xfId="0" applyNumberFormat="1" applyBorder="1" applyAlignment="1">
      <alignment vertical="center"/>
    </xf>
    <xf numFmtId="0" fontId="0" fillId="0" borderId="9" xfId="0" applyBorder="1" applyAlignment="1">
      <alignment vertical="center"/>
    </xf>
    <xf numFmtId="2" fontId="4" fillId="0" borderId="71" xfId="0" applyNumberFormat="1" applyFont="1" applyBorder="1" applyAlignment="1">
      <alignment horizontal="center" vertical="center"/>
    </xf>
    <xf numFmtId="0" fontId="0" fillId="0" borderId="20" xfId="0" applyBorder="1" applyAlignment="1">
      <alignment vertical="center"/>
    </xf>
    <xf numFmtId="0" fontId="0" fillId="0" borderId="5" xfId="0" applyBorder="1" applyAlignment="1">
      <alignment vertical="center"/>
    </xf>
    <xf numFmtId="0" fontId="0" fillId="2" borderId="7" xfId="0" applyFill="1" applyBorder="1" applyAlignment="1">
      <alignment horizontal="left" vertical="center"/>
    </xf>
    <xf numFmtId="0" fontId="0" fillId="2" borderId="20" xfId="0" applyFill="1" applyBorder="1" applyAlignment="1">
      <alignment horizontal="left" vertical="center"/>
    </xf>
    <xf numFmtId="0" fontId="0" fillId="2" borderId="5" xfId="0" applyFill="1" applyBorder="1" applyAlignment="1">
      <alignment horizontal="left" vertical="center"/>
    </xf>
    <xf numFmtId="0" fontId="0" fillId="0" borderId="26" xfId="0" applyBorder="1" applyAlignment="1">
      <alignment vertical="center"/>
    </xf>
    <xf numFmtId="0" fontId="0" fillId="0" borderId="44" xfId="0" applyBorder="1" applyAlignment="1">
      <alignment vertical="center"/>
    </xf>
    <xf numFmtId="0" fontId="0" fillId="0" borderId="6" xfId="0" applyBorder="1" applyAlignment="1">
      <alignment vertical="center" wrapText="1"/>
    </xf>
    <xf numFmtId="0" fontId="16" fillId="0" borderId="36" xfId="0" applyFont="1" applyBorder="1" applyAlignment="1">
      <alignment horizontal="center" vertical="center" wrapText="1"/>
    </xf>
    <xf numFmtId="1" fontId="0" fillId="0" borderId="36" xfId="0" applyNumberForma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0" fillId="0" borderId="25" xfId="0" applyBorder="1" applyAlignment="1">
      <alignment vertical="center" wrapText="1"/>
    </xf>
    <xf numFmtId="0" fontId="0" fillId="0" borderId="7" xfId="0" applyBorder="1" applyAlignment="1">
      <alignment vertical="center"/>
    </xf>
    <xf numFmtId="15" fontId="0" fillId="0" borderId="0" xfId="0" applyNumberFormat="1" applyAlignment="1">
      <alignment horizontal="center" vertical="center" wrapText="1"/>
    </xf>
    <xf numFmtId="0" fontId="0" fillId="0" borderId="50" xfId="0" applyBorder="1" applyAlignment="1">
      <alignment horizontal="center"/>
    </xf>
    <xf numFmtId="0" fontId="0" fillId="0" borderId="20" xfId="0" applyBorder="1" applyAlignment="1">
      <alignment horizontal="center"/>
    </xf>
    <xf numFmtId="0" fontId="0" fillId="0" borderId="5" xfId="0" applyBorder="1" applyAlignment="1">
      <alignment horizontal="center"/>
    </xf>
    <xf numFmtId="0" fontId="0" fillId="0" borderId="50" xfId="0" applyBorder="1" applyAlignment="1">
      <alignment vertical="center" wrapText="1"/>
    </xf>
    <xf numFmtId="0" fontId="0" fillId="0" borderId="20" xfId="0" applyBorder="1" applyAlignment="1">
      <alignment vertical="center" wrapText="1"/>
    </xf>
    <xf numFmtId="0" fontId="0" fillId="0" borderId="5" xfId="0" applyBorder="1" applyAlignment="1">
      <alignment vertical="center" wrapText="1"/>
    </xf>
    <xf numFmtId="0" fontId="0" fillId="0" borderId="50" xfId="0" applyBorder="1" applyAlignment="1">
      <alignment horizontal="left"/>
    </xf>
    <xf numFmtId="0" fontId="0" fillId="0" borderId="20" xfId="0" applyBorder="1" applyAlignment="1">
      <alignment horizontal="left"/>
    </xf>
    <xf numFmtId="0" fontId="0" fillId="0" borderId="5" xfId="0" applyBorder="1" applyAlignment="1">
      <alignment horizontal="left"/>
    </xf>
    <xf numFmtId="0" fontId="0" fillId="5" borderId="50" xfId="0" applyFill="1" applyBorder="1" applyAlignment="1">
      <alignment vertical="center" wrapText="1"/>
    </xf>
    <xf numFmtId="0" fontId="0" fillId="5" borderId="20" xfId="0" applyFill="1" applyBorder="1" applyAlignment="1">
      <alignment vertical="center" wrapText="1"/>
    </xf>
    <xf numFmtId="0" fontId="0" fillId="5" borderId="5" xfId="0" applyFill="1" applyBorder="1" applyAlignment="1">
      <alignment vertical="center" wrapText="1"/>
    </xf>
    <xf numFmtId="0" fontId="2" fillId="0" borderId="32"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horizontal="left"/>
    </xf>
    <xf numFmtId="0" fontId="2" fillId="2" borderId="3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6" xfId="0" applyFont="1" applyFill="1" applyBorder="1" applyAlignment="1">
      <alignment horizontal="center" vertical="center"/>
    </xf>
    <xf numFmtId="0" fontId="2" fillId="0" borderId="32" xfId="0" applyFont="1" applyBorder="1" applyAlignment="1">
      <alignment horizontal="center" vertical="center"/>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11" fillId="2" borderId="7" xfId="0" applyFont="1" applyFill="1" applyBorder="1" applyAlignment="1">
      <alignment horizontal="center"/>
    </xf>
    <xf numFmtId="0" fontId="11" fillId="2" borderId="20" xfId="0" applyFont="1" applyFill="1" applyBorder="1" applyAlignment="1">
      <alignment horizontal="center"/>
    </xf>
    <xf numFmtId="0" fontId="11" fillId="2" borderId="5" xfId="0" applyFont="1" applyFill="1" applyBorder="1" applyAlignment="1">
      <alignment horizontal="center"/>
    </xf>
    <xf numFmtId="0" fontId="2" fillId="0" borderId="64" xfId="0" applyFont="1" applyBorder="1" applyAlignment="1">
      <alignment horizontal="center" vertical="center"/>
    </xf>
    <xf numFmtId="0" fontId="2" fillId="0" borderId="65" xfId="0" applyFont="1" applyBorder="1" applyAlignment="1">
      <alignment horizontal="center" vertical="center"/>
    </xf>
    <xf numFmtId="0" fontId="2" fillId="0" borderId="51" xfId="0" applyFont="1" applyBorder="1" applyAlignment="1">
      <alignment horizontal="center" vertical="center"/>
    </xf>
    <xf numFmtId="0" fontId="2" fillId="0" borderId="63" xfId="0" applyFont="1" applyBorder="1" applyAlignment="1">
      <alignment horizontal="center" vertical="center"/>
    </xf>
    <xf numFmtId="0" fontId="2" fillId="0" borderId="46" xfId="0"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2" fillId="0" borderId="33"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23" xfId="0" applyFont="1" applyBorder="1" applyAlignment="1">
      <alignment horizontal="center" vertical="center"/>
    </xf>
    <xf numFmtId="0" fontId="2" fillId="0" borderId="23" xfId="0" applyFont="1" applyBorder="1" applyAlignment="1">
      <alignment horizontal="center" vertical="center" wrapText="1"/>
    </xf>
    <xf numFmtId="0" fontId="0" fillId="2" borderId="7" xfId="0" applyFill="1" applyBorder="1" applyAlignment="1">
      <alignment horizontal="center" vertical="top" wrapText="1"/>
    </xf>
    <xf numFmtId="0" fontId="0" fillId="2" borderId="20" xfId="0" applyFill="1" applyBorder="1" applyAlignment="1">
      <alignment horizontal="center" vertical="top" wrapText="1"/>
    </xf>
    <xf numFmtId="0" fontId="0" fillId="2" borderId="5" xfId="0" applyFill="1" applyBorder="1" applyAlignment="1">
      <alignment horizontal="center" vertical="top" wrapText="1"/>
    </xf>
    <xf numFmtId="0" fontId="0" fillId="0" borderId="36" xfId="0" applyBorder="1" applyAlignment="1">
      <alignment horizontal="left"/>
    </xf>
    <xf numFmtId="0" fontId="0" fillId="0" borderId="22" xfId="0" applyBorder="1" applyAlignment="1">
      <alignment horizontal="left"/>
    </xf>
    <xf numFmtId="0" fontId="0" fillId="0" borderId="37" xfId="0" applyBorder="1" applyAlignment="1">
      <alignment horizontal="left"/>
    </xf>
    <xf numFmtId="0" fontId="0" fillId="0" borderId="7" xfId="0" applyBorder="1" applyAlignment="1">
      <alignment horizontal="left" vertical="center"/>
    </xf>
    <xf numFmtId="0" fontId="0" fillId="0" borderId="20" xfId="0" applyBorder="1" applyAlignment="1">
      <alignment horizontal="left" vertical="center"/>
    </xf>
    <xf numFmtId="0" fontId="0" fillId="0" borderId="5" xfId="0" applyBorder="1" applyAlignment="1">
      <alignment horizontal="left" vertical="center"/>
    </xf>
    <xf numFmtId="0" fontId="0" fillId="2" borderId="7" xfId="0" applyFill="1" applyBorder="1" applyAlignment="1">
      <alignment horizontal="left" vertical="top" wrapText="1"/>
    </xf>
    <xf numFmtId="0" fontId="0" fillId="2" borderId="20" xfId="0" applyFill="1" applyBorder="1" applyAlignment="1">
      <alignment horizontal="left" vertical="top" wrapText="1"/>
    </xf>
    <xf numFmtId="0" fontId="0" fillId="2" borderId="5" xfId="0" applyFill="1" applyBorder="1" applyAlignment="1">
      <alignment horizontal="left" vertical="top" wrapText="1"/>
    </xf>
    <xf numFmtId="0" fontId="0" fillId="2" borderId="7" xfId="0" applyFill="1" applyBorder="1" applyAlignment="1">
      <alignment horizontal="center"/>
    </xf>
    <xf numFmtId="0" fontId="0" fillId="2" borderId="20" xfId="0" applyFill="1" applyBorder="1" applyAlignment="1">
      <alignment horizontal="center"/>
    </xf>
    <xf numFmtId="0" fontId="0" fillId="2" borderId="5" xfId="0" applyFill="1" applyBorder="1" applyAlignment="1">
      <alignment horizontal="center"/>
    </xf>
    <xf numFmtId="0" fontId="0" fillId="2" borderId="7" xfId="0" applyFill="1" applyBorder="1" applyAlignment="1">
      <alignment horizontal="left" vertical="center" wrapText="1"/>
    </xf>
    <xf numFmtId="0" fontId="0" fillId="2" borderId="20" xfId="0" applyFill="1" applyBorder="1" applyAlignment="1">
      <alignment horizontal="left" vertical="center"/>
    </xf>
    <xf numFmtId="0" fontId="0" fillId="2" borderId="5" xfId="0" applyFill="1" applyBorder="1" applyAlignment="1">
      <alignment horizontal="left" vertical="center"/>
    </xf>
    <xf numFmtId="0" fontId="0" fillId="2" borderId="7" xfId="0" applyFill="1" applyBorder="1" applyAlignment="1">
      <alignment horizontal="left"/>
    </xf>
    <xf numFmtId="0" fontId="0" fillId="2" borderId="20" xfId="0" applyFill="1" applyBorder="1" applyAlignment="1">
      <alignment horizontal="left"/>
    </xf>
    <xf numFmtId="0" fontId="0" fillId="2" borderId="5" xfId="0" applyFill="1" applyBorder="1" applyAlignment="1">
      <alignment horizontal="left"/>
    </xf>
    <xf numFmtId="0" fontId="2" fillId="2" borderId="34" xfId="0" applyFont="1" applyFill="1" applyBorder="1" applyAlignment="1">
      <alignment horizontal="center" vertical="center"/>
    </xf>
    <xf numFmtId="0" fontId="2" fillId="2" borderId="55" xfId="0" applyFont="1" applyFill="1" applyBorder="1" applyAlignment="1">
      <alignment horizontal="center" vertical="center"/>
    </xf>
    <xf numFmtId="0" fontId="2" fillId="2" borderId="37" xfId="0" applyFont="1" applyFill="1" applyBorder="1" applyAlignment="1">
      <alignment horizontal="center" vertical="center"/>
    </xf>
    <xf numFmtId="165" fontId="0" fillId="0" borderId="51" xfId="0" applyNumberFormat="1" applyBorder="1" applyAlignment="1">
      <alignment horizontal="center" vertical="center"/>
    </xf>
    <xf numFmtId="165" fontId="0" fillId="0" borderId="63" xfId="0" applyNumberFormat="1" applyBorder="1" applyAlignment="1">
      <alignment horizontal="center" vertical="center"/>
    </xf>
    <xf numFmtId="165" fontId="0" fillId="0" borderId="46" xfId="0" applyNumberFormat="1" applyBorder="1" applyAlignment="1">
      <alignment horizontal="center" vertical="center"/>
    </xf>
    <xf numFmtId="0" fontId="0" fillId="0" borderId="7" xfId="0" applyBorder="1" applyAlignment="1">
      <alignment horizontal="center"/>
    </xf>
    <xf numFmtId="0" fontId="2" fillId="0" borderId="9" xfId="0" applyFont="1" applyBorder="1" applyAlignment="1">
      <alignment horizontal="left"/>
    </xf>
    <xf numFmtId="0" fontId="2" fillId="0" borderId="20" xfId="0" applyFont="1" applyBorder="1" applyAlignment="1">
      <alignment horizontal="center"/>
    </xf>
    <xf numFmtId="0" fontId="2" fillId="0" borderId="5" xfId="0" applyFont="1" applyBorder="1" applyAlignment="1">
      <alignment horizontal="center"/>
    </xf>
    <xf numFmtId="0" fontId="16" fillId="0" borderId="53" xfId="0" applyFont="1" applyBorder="1" applyAlignment="1">
      <alignment horizontal="left" vertical="center" wrapText="1"/>
    </xf>
    <xf numFmtId="0" fontId="16" fillId="0" borderId="13" xfId="0" applyFont="1" applyBorder="1" applyAlignment="1">
      <alignment horizontal="left" vertical="center" wrapText="1"/>
    </xf>
    <xf numFmtId="0" fontId="16" fillId="0" borderId="57" xfId="0" applyFont="1" applyBorder="1" applyAlignment="1">
      <alignment horizontal="left" vertical="center" wrapText="1"/>
    </xf>
    <xf numFmtId="0" fontId="16" fillId="0" borderId="54" xfId="0" applyFont="1" applyBorder="1" applyAlignment="1">
      <alignment horizontal="left" vertical="center" wrapText="1"/>
    </xf>
    <xf numFmtId="0" fontId="16" fillId="0" borderId="0" xfId="0" applyFont="1" applyAlignment="1">
      <alignment horizontal="left" vertical="center" wrapText="1"/>
    </xf>
    <xf numFmtId="0" fontId="16" fillId="0" borderId="58" xfId="0" applyFont="1" applyBorder="1" applyAlignment="1">
      <alignment horizontal="left" vertical="center" wrapText="1"/>
    </xf>
    <xf numFmtId="0" fontId="16" fillId="0" borderId="59" xfId="0" applyFont="1" applyBorder="1" applyAlignment="1">
      <alignment horizontal="left" vertical="center" wrapText="1"/>
    </xf>
    <xf numFmtId="0" fontId="16" fillId="0" borderId="60" xfId="0" applyFont="1" applyBorder="1" applyAlignment="1">
      <alignment horizontal="left" vertical="center" wrapText="1"/>
    </xf>
    <xf numFmtId="0" fontId="16" fillId="0" borderId="61" xfId="0" applyFont="1" applyBorder="1" applyAlignment="1">
      <alignment horizontal="left" vertical="center" wrapText="1"/>
    </xf>
    <xf numFmtId="1" fontId="0" fillId="0" borderId="51" xfId="0" applyNumberFormat="1" applyBorder="1" applyAlignment="1">
      <alignment horizontal="center" vertical="center"/>
    </xf>
    <xf numFmtId="1" fontId="0" fillId="0" borderId="63" xfId="0" applyNumberFormat="1" applyBorder="1" applyAlignment="1">
      <alignment horizontal="center" vertical="center"/>
    </xf>
    <xf numFmtId="1" fontId="0" fillId="0" borderId="46" xfId="0" applyNumberFormat="1" applyBorder="1" applyAlignment="1">
      <alignment horizontal="center" vertical="center"/>
    </xf>
    <xf numFmtId="0" fontId="0" fillId="0" borderId="53" xfId="0" applyBorder="1" applyAlignment="1">
      <alignment horizontal="left" vertical="center" wrapText="1"/>
    </xf>
    <xf numFmtId="0" fontId="0" fillId="0" borderId="13" xfId="0" applyBorder="1" applyAlignment="1">
      <alignment horizontal="left" vertical="center" wrapText="1"/>
    </xf>
    <xf numFmtId="0" fontId="0" fillId="0" borderId="34" xfId="0" applyBorder="1" applyAlignment="1">
      <alignment horizontal="left" vertical="center" wrapText="1"/>
    </xf>
    <xf numFmtId="0" fontId="0" fillId="0" borderId="54" xfId="0" applyBorder="1" applyAlignment="1">
      <alignment horizontal="left" vertical="center" wrapText="1"/>
    </xf>
    <xf numFmtId="0" fontId="0" fillId="0" borderId="0" xfId="0" applyAlignment="1">
      <alignment horizontal="left" vertical="center" wrapText="1"/>
    </xf>
    <xf numFmtId="0" fontId="0" fillId="0" borderId="55" xfId="0" applyBorder="1" applyAlignment="1">
      <alignment horizontal="left" vertical="center" wrapText="1"/>
    </xf>
    <xf numFmtId="0" fontId="0" fillId="0" borderId="56" xfId="0" applyBorder="1" applyAlignment="1">
      <alignment horizontal="left" vertical="center" wrapText="1"/>
    </xf>
    <xf numFmtId="0" fontId="0" fillId="0" borderId="22" xfId="0" applyBorder="1" applyAlignment="1">
      <alignment horizontal="left" vertical="center" wrapText="1"/>
    </xf>
    <xf numFmtId="0" fontId="0" fillId="0" borderId="37" xfId="0" applyBorder="1" applyAlignment="1">
      <alignment horizontal="left" vertical="center" wrapText="1"/>
    </xf>
    <xf numFmtId="0" fontId="5" fillId="2" borderId="7" xfId="0" applyFont="1" applyFill="1" applyBorder="1" applyAlignment="1">
      <alignment horizontal="center"/>
    </xf>
    <xf numFmtId="0" fontId="5" fillId="2" borderId="20" xfId="0" applyFont="1" applyFill="1" applyBorder="1" applyAlignment="1">
      <alignment horizontal="center"/>
    </xf>
    <xf numFmtId="0" fontId="5" fillId="2" borderId="5" xfId="0" applyFont="1" applyFill="1" applyBorder="1" applyAlignment="1">
      <alignment horizontal="center"/>
    </xf>
    <xf numFmtId="0" fontId="0" fillId="2" borderId="7" xfId="0" applyFill="1" applyBorder="1" applyAlignment="1">
      <alignment horizontal="left" vertical="center"/>
    </xf>
    <xf numFmtId="0" fontId="0" fillId="0" borderId="53" xfId="0" applyBorder="1" applyAlignment="1">
      <alignment horizontal="left" vertical="center"/>
    </xf>
    <xf numFmtId="0" fontId="0" fillId="0" borderId="13" xfId="0" applyBorder="1" applyAlignment="1">
      <alignment horizontal="left" vertical="center"/>
    </xf>
    <xf numFmtId="0" fontId="0" fillId="0" borderId="34" xfId="0" applyBorder="1" applyAlignment="1">
      <alignment horizontal="left" vertical="center"/>
    </xf>
    <xf numFmtId="0" fontId="0" fillId="0" borderId="54" xfId="0" applyBorder="1" applyAlignment="1">
      <alignment horizontal="left" vertical="center"/>
    </xf>
    <xf numFmtId="0" fontId="0" fillId="0" borderId="0" xfId="0" applyAlignment="1">
      <alignment horizontal="left" vertical="center"/>
    </xf>
    <xf numFmtId="0" fontId="0" fillId="0" borderId="55" xfId="0" applyBorder="1" applyAlignment="1">
      <alignment horizontal="left" vertical="center"/>
    </xf>
    <xf numFmtId="0" fontId="0" fillId="0" borderId="56" xfId="0" applyBorder="1" applyAlignment="1">
      <alignment horizontal="left" vertical="center"/>
    </xf>
    <xf numFmtId="0" fontId="0" fillId="0" borderId="22" xfId="0" applyBorder="1" applyAlignment="1">
      <alignment horizontal="left" vertical="center"/>
    </xf>
    <xf numFmtId="0" fontId="0" fillId="0" borderId="37" xfId="0" applyBorder="1" applyAlignment="1">
      <alignment horizontal="left" vertical="center"/>
    </xf>
    <xf numFmtId="0" fontId="0" fillId="0" borderId="50" xfId="0" applyBorder="1" applyAlignment="1">
      <alignment horizontal="left" vertical="center" wrapText="1"/>
    </xf>
    <xf numFmtId="0" fontId="0" fillId="0" borderId="20" xfId="0" applyBorder="1" applyAlignment="1">
      <alignment horizontal="left" vertical="center" wrapText="1"/>
    </xf>
    <xf numFmtId="0" fontId="0" fillId="0" borderId="5" xfId="0" applyBorder="1" applyAlignment="1">
      <alignment horizontal="left" vertical="center" wrapText="1"/>
    </xf>
    <xf numFmtId="0" fontId="0" fillId="0" borderId="9" xfId="0" applyBorder="1" applyAlignment="1">
      <alignment horizontal="left"/>
    </xf>
    <xf numFmtId="0" fontId="0" fillId="5" borderId="53" xfId="0" applyFill="1" applyBorder="1" applyAlignment="1">
      <alignment horizontal="left" vertical="center" wrapText="1"/>
    </xf>
    <xf numFmtId="0" fontId="0" fillId="5" borderId="13" xfId="0" applyFill="1" applyBorder="1" applyAlignment="1">
      <alignment horizontal="left" vertical="center" wrapText="1"/>
    </xf>
    <xf numFmtId="0" fontId="0" fillId="5" borderId="34" xfId="0" applyFill="1" applyBorder="1" applyAlignment="1">
      <alignment horizontal="left" vertical="center" wrapText="1"/>
    </xf>
    <xf numFmtId="0" fontId="0" fillId="5" borderId="54" xfId="0" applyFill="1" applyBorder="1" applyAlignment="1">
      <alignment horizontal="left" vertical="center" wrapText="1"/>
    </xf>
    <xf numFmtId="0" fontId="0" fillId="5" borderId="0" xfId="0" applyFill="1" applyAlignment="1">
      <alignment horizontal="left" vertical="center" wrapText="1"/>
    </xf>
    <xf numFmtId="0" fontId="0" fillId="5" borderId="55" xfId="0" applyFill="1" applyBorder="1" applyAlignment="1">
      <alignment horizontal="left" vertical="center" wrapText="1"/>
    </xf>
    <xf numFmtId="0" fontId="0" fillId="5" borderId="56" xfId="0" applyFill="1" applyBorder="1" applyAlignment="1">
      <alignment horizontal="left" vertical="center" wrapText="1"/>
    </xf>
    <xf numFmtId="0" fontId="0" fillId="5" borderId="22" xfId="0" applyFill="1" applyBorder="1" applyAlignment="1">
      <alignment horizontal="left" vertical="center" wrapText="1"/>
    </xf>
    <xf numFmtId="0" fontId="0" fillId="5" borderId="37" xfId="0" applyFill="1" applyBorder="1" applyAlignment="1">
      <alignment horizontal="left" vertical="center" wrapText="1"/>
    </xf>
    <xf numFmtId="0" fontId="0" fillId="0" borderId="53" xfId="0" applyBorder="1" applyAlignment="1">
      <alignment horizontal="left" wrapText="1"/>
    </xf>
    <xf numFmtId="0" fontId="0" fillId="0" borderId="13" xfId="0" applyBorder="1" applyAlignment="1">
      <alignment horizontal="left" wrapText="1"/>
    </xf>
    <xf numFmtId="0" fontId="0" fillId="0" borderId="34" xfId="0" applyBorder="1" applyAlignment="1">
      <alignment horizontal="left" wrapText="1"/>
    </xf>
    <xf numFmtId="0" fontId="0" fillId="0" borderId="54" xfId="0" applyBorder="1" applyAlignment="1">
      <alignment horizontal="left" wrapText="1"/>
    </xf>
    <xf numFmtId="0" fontId="0" fillId="0" borderId="0" xfId="0" applyAlignment="1">
      <alignment horizontal="left" wrapText="1"/>
    </xf>
    <xf numFmtId="0" fontId="0" fillId="0" borderId="55" xfId="0" applyBorder="1" applyAlignment="1">
      <alignment horizontal="left" wrapText="1"/>
    </xf>
    <xf numFmtId="0" fontId="0" fillId="0" borderId="56" xfId="0" applyBorder="1" applyAlignment="1">
      <alignment horizontal="left" wrapText="1"/>
    </xf>
    <xf numFmtId="0" fontId="0" fillId="0" borderId="22" xfId="0" applyBorder="1" applyAlignment="1">
      <alignment horizontal="left" wrapText="1"/>
    </xf>
    <xf numFmtId="0" fontId="0" fillId="0" borderId="37" xfId="0" applyBorder="1" applyAlignment="1">
      <alignment horizontal="left" wrapText="1"/>
    </xf>
    <xf numFmtId="165" fontId="0" fillId="0" borderId="45" xfId="0" applyNumberFormat="1" applyBorder="1" applyAlignment="1">
      <alignment horizontal="center" vertical="center"/>
    </xf>
    <xf numFmtId="0" fontId="9" fillId="2" borderId="7" xfId="0" applyFont="1" applyFill="1" applyBorder="1" applyAlignment="1">
      <alignment horizontal="left"/>
    </xf>
    <xf numFmtId="0" fontId="9" fillId="2" borderId="20" xfId="0" applyFont="1" applyFill="1" applyBorder="1" applyAlignment="1">
      <alignment horizontal="left"/>
    </xf>
    <xf numFmtId="0" fontId="9" fillId="2" borderId="5" xfId="0" applyFont="1" applyFill="1" applyBorder="1" applyAlignment="1">
      <alignment horizontal="left"/>
    </xf>
    <xf numFmtId="0" fontId="0" fillId="0" borderId="7" xfId="0" applyBorder="1" applyAlignment="1">
      <alignment horizontal="center" vertical="top"/>
    </xf>
    <xf numFmtId="0" fontId="0" fillId="0" borderId="20" xfId="0" applyBorder="1" applyAlignment="1">
      <alignment horizontal="center" vertical="top"/>
    </xf>
    <xf numFmtId="0" fontId="0" fillId="0" borderId="5" xfId="0" applyBorder="1" applyAlignment="1">
      <alignment horizontal="center" vertical="top"/>
    </xf>
    <xf numFmtId="0" fontId="0" fillId="2" borderId="53" xfId="0" applyFill="1" applyBorder="1" applyAlignment="1">
      <alignment horizontal="left" vertical="center"/>
    </xf>
    <xf numFmtId="0" fontId="0" fillId="2" borderId="13" xfId="0" applyFill="1" applyBorder="1" applyAlignment="1">
      <alignment horizontal="left" vertical="center"/>
    </xf>
    <xf numFmtId="0" fontId="0" fillId="2" borderId="34" xfId="0" applyFill="1" applyBorder="1" applyAlignment="1">
      <alignment horizontal="left" vertical="center"/>
    </xf>
    <xf numFmtId="0" fontId="0" fillId="2" borderId="54" xfId="0" applyFill="1" applyBorder="1" applyAlignment="1">
      <alignment horizontal="left" vertical="center"/>
    </xf>
    <xf numFmtId="0" fontId="0" fillId="2" borderId="0" xfId="0" applyFill="1" applyAlignment="1">
      <alignment horizontal="left" vertical="center"/>
    </xf>
    <xf numFmtId="0" fontId="0" fillId="2" borderId="55" xfId="0" applyFill="1" applyBorder="1" applyAlignment="1">
      <alignment horizontal="left" vertical="center"/>
    </xf>
    <xf numFmtId="0" fontId="0" fillId="2" borderId="56" xfId="0" applyFill="1" applyBorder="1" applyAlignment="1">
      <alignment horizontal="left" vertical="center"/>
    </xf>
    <xf numFmtId="0" fontId="0" fillId="2" borderId="22" xfId="0" applyFill="1" applyBorder="1" applyAlignment="1">
      <alignment horizontal="left" vertical="center"/>
    </xf>
    <xf numFmtId="0" fontId="0" fillId="2" borderId="37" xfId="0" applyFill="1" applyBorder="1" applyAlignment="1">
      <alignment horizontal="left" vertical="center"/>
    </xf>
    <xf numFmtId="0" fontId="0" fillId="0" borderId="50" xfId="0" applyBorder="1" applyAlignment="1">
      <alignment horizontal="left" wrapText="1"/>
    </xf>
    <xf numFmtId="0" fontId="0" fillId="0" borderId="20" xfId="0" applyBorder="1" applyAlignment="1">
      <alignment horizontal="left" wrapText="1"/>
    </xf>
    <xf numFmtId="0" fontId="0" fillId="0" borderId="5" xfId="0" applyBorder="1" applyAlignment="1">
      <alignment horizontal="left" wrapText="1"/>
    </xf>
    <xf numFmtId="0" fontId="9" fillId="0" borderId="7" xfId="0" applyFont="1" applyBorder="1" applyAlignment="1">
      <alignment horizontal="left"/>
    </xf>
    <xf numFmtId="0" fontId="9" fillId="0" borderId="20" xfId="0" applyFont="1" applyBorder="1" applyAlignment="1">
      <alignment horizontal="left"/>
    </xf>
    <xf numFmtId="0" fontId="9" fillId="0" borderId="5" xfId="0" applyFont="1" applyBorder="1" applyAlignment="1">
      <alignment horizontal="left"/>
    </xf>
    <xf numFmtId="0" fontId="0" fillId="5" borderId="9" xfId="0" applyFill="1" applyBorder="1" applyAlignment="1">
      <alignment horizontal="left"/>
    </xf>
    <xf numFmtId="2" fontId="0" fillId="0" borderId="50" xfId="0" applyNumberFormat="1" applyBorder="1" applyAlignment="1">
      <alignment wrapText="1"/>
    </xf>
    <xf numFmtId="2" fontId="0" fillId="0" borderId="20" xfId="0" applyNumberFormat="1" applyBorder="1" applyAlignment="1">
      <alignment wrapText="1"/>
    </xf>
    <xf numFmtId="2" fontId="0" fillId="0" borderId="5" xfId="0" applyNumberFormat="1" applyBorder="1" applyAlignment="1">
      <alignment wrapText="1"/>
    </xf>
    <xf numFmtId="2" fontId="0" fillId="0" borderId="50" xfId="0" applyNumberFormat="1" applyBorder="1" applyAlignment="1">
      <alignment vertical="center" wrapText="1"/>
    </xf>
    <xf numFmtId="2" fontId="0" fillId="0" borderId="20" xfId="0" applyNumberFormat="1" applyBorder="1" applyAlignment="1">
      <alignment vertical="center" wrapText="1"/>
    </xf>
    <xf numFmtId="2" fontId="0" fillId="0" borderId="5" xfId="0" applyNumberFormat="1" applyBorder="1" applyAlignment="1">
      <alignment vertical="center" wrapText="1"/>
    </xf>
    <xf numFmtId="0" fontId="3" fillId="8" borderId="11"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7" xfId="0" applyFont="1" applyFill="1" applyBorder="1" applyAlignment="1">
      <alignment horizontal="center" vertical="center"/>
    </xf>
    <xf numFmtId="0" fontId="7" fillId="3" borderId="9" xfId="0" applyFont="1" applyFill="1" applyBorder="1" applyAlignment="1">
      <alignment horizontal="left" vertical="center" wrapText="1"/>
    </xf>
    <xf numFmtId="0" fontId="7" fillId="3" borderId="7" xfId="0" applyFont="1" applyFill="1" applyBorder="1" applyAlignment="1">
      <alignment horizontal="left" vertical="center" wrapText="1"/>
    </xf>
    <xf numFmtId="164" fontId="8" fillId="0" borderId="5" xfId="0" applyNumberFormat="1" applyFont="1" applyBorder="1" applyAlignment="1">
      <alignment horizontal="center" vertical="center" wrapText="1"/>
    </xf>
    <xf numFmtId="164" fontId="8" fillId="0" borderId="9" xfId="0" applyNumberFormat="1" applyFont="1" applyBorder="1" applyAlignment="1">
      <alignment horizontal="center" vertical="center" wrapText="1"/>
    </xf>
    <xf numFmtId="0" fontId="8" fillId="0" borderId="19" xfId="0" applyFont="1" applyBorder="1" applyAlignment="1">
      <alignment horizontal="center" vertical="center" wrapText="1"/>
    </xf>
    <xf numFmtId="0" fontId="8" fillId="0" borderId="2" xfId="0" applyFont="1" applyBorder="1" applyAlignment="1">
      <alignment horizontal="center" vertical="center" wrapText="1"/>
    </xf>
    <xf numFmtId="0" fontId="7" fillId="3" borderId="2" xfId="0" applyFont="1" applyFill="1" applyBorder="1" applyAlignment="1">
      <alignment horizontal="left" vertical="center" wrapText="1"/>
    </xf>
    <xf numFmtId="0" fontId="7" fillId="3" borderId="18" xfId="0" applyFont="1" applyFill="1" applyBorder="1" applyAlignment="1">
      <alignment horizontal="left" vertical="center" wrapText="1"/>
    </xf>
    <xf numFmtId="0" fontId="8" fillId="0" borderId="5" xfId="0" applyFont="1" applyBorder="1" applyAlignment="1">
      <alignment horizontal="center" vertical="center" wrapText="1"/>
    </xf>
    <xf numFmtId="0" fontId="8" fillId="0" borderId="9" xfId="0" applyFont="1" applyBorder="1" applyAlignment="1">
      <alignment horizontal="center" vertical="center" wrapText="1"/>
    </xf>
    <xf numFmtId="0" fontId="7" fillId="3" borderId="39" xfId="0" applyFont="1" applyFill="1" applyBorder="1" applyAlignment="1">
      <alignment horizontal="left" vertical="center" wrapText="1"/>
    </xf>
    <xf numFmtId="0" fontId="7" fillId="3" borderId="35" xfId="0" applyFont="1" applyFill="1" applyBorder="1" applyAlignment="1">
      <alignment horizontal="left" vertical="center" wrapText="1"/>
    </xf>
    <xf numFmtId="0" fontId="8" fillId="0" borderId="35" xfId="0" applyFont="1" applyBorder="1" applyAlignment="1">
      <alignment horizontal="center" vertical="center" wrapText="1"/>
    </xf>
    <xf numFmtId="0" fontId="8" fillId="0" borderId="24" xfId="0" applyFont="1" applyBorder="1" applyAlignment="1">
      <alignment horizontal="center" vertical="center" wrapText="1"/>
    </xf>
    <xf numFmtId="0" fontId="7" fillId="3" borderId="24" xfId="0" applyFont="1" applyFill="1" applyBorder="1" applyAlignment="1">
      <alignment horizontal="left" vertical="center" wrapText="1"/>
    </xf>
    <xf numFmtId="0" fontId="7" fillId="3" borderId="41" xfId="0" applyFont="1" applyFill="1" applyBorder="1" applyAlignment="1">
      <alignment horizontal="left" vertical="center" wrapText="1"/>
    </xf>
    <xf numFmtId="2" fontId="0" fillId="0" borderId="50" xfId="0" applyNumberFormat="1" applyBorder="1" applyAlignment="1">
      <alignment horizontal="left" vertical="center" wrapText="1"/>
    </xf>
    <xf numFmtId="2" fontId="0" fillId="0" borderId="20" xfId="0" applyNumberFormat="1" applyBorder="1" applyAlignment="1">
      <alignment horizontal="left" vertical="center" wrapText="1"/>
    </xf>
    <xf numFmtId="2" fontId="0" fillId="0" borderId="5" xfId="0" applyNumberFormat="1" applyBorder="1" applyAlignment="1">
      <alignment horizontal="left" vertical="center" wrapText="1"/>
    </xf>
    <xf numFmtId="0" fontId="7" fillId="3" borderId="38" xfId="0" applyFont="1" applyFill="1" applyBorder="1" applyAlignment="1">
      <alignment horizontal="left" vertical="center" wrapText="1"/>
    </xf>
    <xf numFmtId="0" fontId="7" fillId="3" borderId="19"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8" fillId="0" borderId="38"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9" xfId="0" applyFont="1" applyBorder="1" applyAlignment="1">
      <alignment horizontal="center" vertical="center" wrapText="1"/>
    </xf>
    <xf numFmtId="164" fontId="8" fillId="0" borderId="4" xfId="0" applyNumberFormat="1" applyFont="1" applyBorder="1" applyAlignment="1">
      <alignment horizontal="center" vertical="center" wrapText="1"/>
    </xf>
    <xf numFmtId="164" fontId="8" fillId="0" borderId="20" xfId="0" applyNumberFormat="1" applyFont="1" applyBorder="1" applyAlignment="1">
      <alignment horizontal="center" vertical="center" wrapText="1"/>
    </xf>
    <xf numFmtId="164" fontId="8" fillId="0" borderId="29" xfId="0" applyNumberFormat="1" applyFont="1" applyBorder="1" applyAlignment="1">
      <alignment horizontal="center" vertical="center" wrapText="1"/>
    </xf>
    <xf numFmtId="0" fontId="0" fillId="2" borderId="7" xfId="0" applyFill="1" applyBorder="1" applyAlignment="1">
      <alignment vertical="center" wrapText="1"/>
    </xf>
    <xf numFmtId="0" fontId="0" fillId="2" borderId="20" xfId="0" applyFill="1" applyBorder="1" applyAlignment="1">
      <alignment vertical="center"/>
    </xf>
    <xf numFmtId="0" fontId="0" fillId="2" borderId="5" xfId="0" applyFill="1" applyBorder="1" applyAlignment="1">
      <alignment vertical="center"/>
    </xf>
    <xf numFmtId="0" fontId="0" fillId="2" borderId="20" xfId="0" applyFill="1" applyBorder="1" applyAlignment="1">
      <alignment horizontal="left" vertical="center" wrapText="1"/>
    </xf>
    <xf numFmtId="0" fontId="0" fillId="2" borderId="5" xfId="0" applyFill="1" applyBorder="1" applyAlignment="1">
      <alignment horizontal="left" vertical="center" wrapText="1"/>
    </xf>
    <xf numFmtId="0" fontId="0" fillId="0" borderId="20" xfId="0" applyBorder="1" applyAlignment="1">
      <alignment wrapText="1"/>
    </xf>
    <xf numFmtId="0" fontId="0" fillId="0" borderId="5" xfId="0" applyBorder="1" applyAlignment="1">
      <alignment wrapText="1"/>
    </xf>
    <xf numFmtId="165" fontId="0" fillId="0" borderId="70" xfId="0" applyNumberFormat="1" applyBorder="1" applyAlignment="1">
      <alignment horizontal="center" vertical="center"/>
    </xf>
    <xf numFmtId="0" fontId="4" fillId="0" borderId="9" xfId="0" applyFont="1" applyBorder="1" applyAlignment="1">
      <alignment horizontal="center"/>
    </xf>
    <xf numFmtId="0" fontId="4" fillId="0" borderId="7" xfId="0" applyFont="1" applyBorder="1" applyAlignment="1">
      <alignment horizontal="center"/>
    </xf>
    <xf numFmtId="0" fontId="4" fillId="0" borderId="20" xfId="0" applyFont="1" applyBorder="1" applyAlignment="1">
      <alignment horizontal="center"/>
    </xf>
    <xf numFmtId="0" fontId="4" fillId="0" borderId="5" xfId="0" applyFont="1" applyBorder="1" applyAlignment="1">
      <alignment horizontal="center"/>
    </xf>
    <xf numFmtId="0" fontId="0" fillId="0" borderId="50" xfId="0" applyBorder="1" applyAlignment="1">
      <alignment wrapText="1"/>
    </xf>
    <xf numFmtId="0" fontId="0" fillId="0" borderId="50" xfId="0" applyBorder="1" applyAlignment="1">
      <alignment vertical="center"/>
    </xf>
    <xf numFmtId="0" fontId="0" fillId="0" borderId="20" xfId="0" applyBorder="1" applyAlignment="1">
      <alignment vertical="center"/>
    </xf>
    <xf numFmtId="0" fontId="0" fillId="0" borderId="5" xfId="0" applyBorder="1" applyAlignment="1">
      <alignment vertical="center"/>
    </xf>
    <xf numFmtId="0" fontId="6" fillId="0" borderId="16" xfId="0" applyFont="1" applyBorder="1" applyAlignment="1">
      <alignment horizontal="center" vertical="center"/>
    </xf>
    <xf numFmtId="0" fontId="6" fillId="0" borderId="40" xfId="0" applyFont="1" applyBorder="1" applyAlignment="1">
      <alignment horizontal="center" vertical="center"/>
    </xf>
    <xf numFmtId="0" fontId="2" fillId="3" borderId="30" xfId="0" applyFont="1" applyFill="1" applyBorder="1" applyAlignment="1">
      <alignment horizontal="center"/>
    </xf>
    <xf numFmtId="0" fontId="2" fillId="3" borderId="40" xfId="0" applyFont="1" applyFill="1" applyBorder="1" applyAlignment="1">
      <alignment horizontal="center"/>
    </xf>
    <xf numFmtId="0" fontId="2" fillId="3" borderId="11" xfId="0" applyFont="1" applyFill="1" applyBorder="1" applyAlignment="1">
      <alignment horizontal="center"/>
    </xf>
    <xf numFmtId="0" fontId="2" fillId="3" borderId="15" xfId="0" applyFont="1" applyFill="1" applyBorder="1" applyAlignment="1">
      <alignment horizontal="center"/>
    </xf>
    <xf numFmtId="0" fontId="2" fillId="3" borderId="17" xfId="0" applyFont="1" applyFill="1" applyBorder="1" applyAlignment="1">
      <alignment horizontal="center"/>
    </xf>
    <xf numFmtId="0" fontId="8" fillId="0" borderId="39"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0" fillId="2" borderId="9" xfId="0" applyFill="1" applyBorder="1" applyAlignment="1">
      <alignment horizontal="left" vertical="center"/>
    </xf>
    <xf numFmtId="0" fontId="0" fillId="2" borderId="9" xfId="0" applyFill="1" applyBorder="1" applyAlignment="1">
      <alignment horizontal="left" vertical="top" wrapText="1"/>
    </xf>
    <xf numFmtId="0" fontId="0" fillId="2" borderId="9" xfId="0" applyFill="1" applyBorder="1" applyAlignment="1">
      <alignment horizontal="left" vertical="top"/>
    </xf>
    <xf numFmtId="0" fontId="0" fillId="2" borderId="9" xfId="0" applyFill="1" applyBorder="1" applyAlignment="1">
      <alignment horizontal="left" vertical="center" wrapText="1"/>
    </xf>
    <xf numFmtId="0" fontId="0" fillId="2" borderId="7" xfId="0" applyFill="1" applyBorder="1" applyAlignment="1">
      <alignment vertical="center"/>
    </xf>
    <xf numFmtId="0" fontId="0" fillId="0" borderId="0" xfId="0" applyAlignment="1">
      <alignment horizontal="center"/>
    </xf>
    <xf numFmtId="0" fontId="0" fillId="4" borderId="7" xfId="0" applyFill="1" applyBorder="1" applyAlignment="1">
      <alignment horizontal="left"/>
    </xf>
    <xf numFmtId="0" fontId="0" fillId="4" borderId="20" xfId="0" applyFill="1" applyBorder="1" applyAlignment="1">
      <alignment horizontal="left"/>
    </xf>
    <xf numFmtId="0" fontId="0" fillId="4" borderId="5" xfId="0" applyFill="1" applyBorder="1" applyAlignment="1">
      <alignment horizontal="left"/>
    </xf>
    <xf numFmtId="0" fontId="2" fillId="0" borderId="7" xfId="0" applyFont="1" applyBorder="1" applyAlignment="1">
      <alignment horizontal="left"/>
    </xf>
    <xf numFmtId="0" fontId="2" fillId="0" borderId="20" xfId="0" applyFont="1" applyBorder="1" applyAlignment="1">
      <alignment horizontal="left"/>
    </xf>
    <xf numFmtId="0" fontId="2" fillId="0" borderId="5" xfId="0" applyFont="1" applyBorder="1" applyAlignment="1">
      <alignment horizontal="left"/>
    </xf>
    <xf numFmtId="0" fontId="0" fillId="0" borderId="33" xfId="0" applyBorder="1" applyAlignment="1">
      <alignment horizontal="left"/>
    </xf>
    <xf numFmtId="0" fontId="0" fillId="0" borderId="13" xfId="0" applyBorder="1" applyAlignment="1">
      <alignment horizontal="left"/>
    </xf>
    <xf numFmtId="0" fontId="0" fillId="0" borderId="34" xfId="0" applyBorder="1" applyAlignment="1">
      <alignment horizontal="left"/>
    </xf>
    <xf numFmtId="0" fontId="14" fillId="7" borderId="39" xfId="0" applyFont="1" applyFill="1" applyBorder="1" applyAlignment="1">
      <alignment wrapText="1"/>
    </xf>
    <xf numFmtId="0" fontId="14" fillId="7" borderId="35" xfId="0" applyFont="1" applyFill="1" applyBorder="1" applyAlignment="1">
      <alignment wrapText="1"/>
    </xf>
    <xf numFmtId="0" fontId="15" fillId="0" borderId="42" xfId="0" applyFont="1" applyBorder="1" applyAlignment="1">
      <alignment horizontal="center" vertical="center" wrapText="1"/>
    </xf>
    <xf numFmtId="0" fontId="15" fillId="0" borderId="49" xfId="0" applyFont="1" applyBorder="1" applyAlignment="1">
      <alignment horizontal="center" vertical="center" wrapText="1"/>
    </xf>
    <xf numFmtId="0" fontId="14" fillId="7" borderId="4" xfId="0" applyFont="1" applyFill="1" applyBorder="1" applyAlignment="1">
      <alignment wrapText="1"/>
    </xf>
    <xf numFmtId="0" fontId="14" fillId="7" borderId="5" xfId="0" applyFont="1" applyFill="1" applyBorder="1" applyAlignment="1">
      <alignment wrapText="1"/>
    </xf>
    <xf numFmtId="15" fontId="15" fillId="0" borderId="20" xfId="0" applyNumberFormat="1" applyFont="1" applyBorder="1" applyAlignment="1">
      <alignment horizontal="center" vertical="center" wrapText="1"/>
    </xf>
    <xf numFmtId="0" fontId="15" fillId="0" borderId="20" xfId="0" applyFont="1" applyBorder="1" applyAlignment="1">
      <alignment horizontal="center" vertical="center" wrapText="1"/>
    </xf>
    <xf numFmtId="0" fontId="15" fillId="0" borderId="48" xfId="0" applyFont="1" applyBorder="1" applyAlignment="1">
      <alignment horizontal="center" vertical="center" wrapText="1"/>
    </xf>
    <xf numFmtId="0" fontId="12" fillId="6" borderId="11" xfId="0" applyFont="1" applyFill="1" applyBorder="1" applyAlignment="1">
      <alignment horizontal="center"/>
    </xf>
    <xf numFmtId="0" fontId="12" fillId="6" borderId="15" xfId="0" applyFont="1" applyFill="1" applyBorder="1" applyAlignment="1">
      <alignment horizontal="center"/>
    </xf>
    <xf numFmtId="0" fontId="12" fillId="6" borderId="47" xfId="0" applyFont="1" applyFill="1" applyBorder="1" applyAlignment="1">
      <alignment horizontal="center"/>
    </xf>
    <xf numFmtId="0" fontId="14" fillId="7" borderId="38" xfId="0" applyFont="1" applyFill="1" applyBorder="1" applyAlignment="1">
      <alignment wrapText="1"/>
    </xf>
    <xf numFmtId="0" fontId="14" fillId="7" borderId="19" xfId="0" applyFont="1" applyFill="1" applyBorder="1" applyAlignment="1">
      <alignment wrapText="1"/>
    </xf>
    <xf numFmtId="0" fontId="15" fillId="0" borderId="18" xfId="0" applyFont="1" applyBorder="1" applyAlignment="1">
      <alignment horizontal="center" vertical="center" wrapText="1"/>
    </xf>
    <xf numFmtId="0" fontId="15" fillId="0" borderId="27" xfId="0" applyFont="1" applyBorder="1" applyAlignment="1">
      <alignment horizontal="center" vertical="center" wrapText="1"/>
    </xf>
    <xf numFmtId="0" fontId="13" fillId="0" borderId="15" xfId="0" applyFont="1" applyBorder="1" applyAlignment="1">
      <alignment horizontal="center"/>
    </xf>
    <xf numFmtId="2" fontId="0" fillId="0" borderId="52" xfId="0" applyNumberFormat="1" applyBorder="1" applyAlignment="1"/>
    <xf numFmtId="2" fontId="0" fillId="0" borderId="27" xfId="0" applyNumberFormat="1" applyBorder="1" applyAlignment="1"/>
    <xf numFmtId="2" fontId="0" fillId="0" borderId="19" xfId="0" applyNumberFormat="1" applyBorder="1" applyAlignment="1"/>
    <xf numFmtId="2" fontId="0" fillId="0" borderId="50" xfId="0" applyNumberFormat="1" applyBorder="1" applyAlignment="1"/>
    <xf numFmtId="2" fontId="0" fillId="0" borderId="20" xfId="0" applyNumberFormat="1" applyBorder="1" applyAlignment="1"/>
    <xf numFmtId="2" fontId="0" fillId="0" borderId="5" xfId="0" applyNumberFormat="1" applyBorder="1" applyAlignment="1"/>
    <xf numFmtId="0" fontId="0" fillId="0" borderId="20" xfId="0" applyBorder="1" applyAlignment="1"/>
    <xf numFmtId="0" fontId="0" fillId="0" borderId="5" xfId="0" applyBorder="1" applyAlignment="1"/>
    <xf numFmtId="0" fontId="0" fillId="0" borderId="50" xfId="0" applyBorder="1" applyAlignment="1"/>
    <xf numFmtId="0" fontId="0" fillId="2" borderId="50" xfId="0" applyFill="1" applyBorder="1" applyAlignment="1"/>
    <xf numFmtId="0" fontId="0" fillId="2" borderId="20" xfId="0" applyFill="1" applyBorder="1" applyAlignment="1"/>
    <xf numFmtId="0" fontId="0" fillId="2" borderId="5" xfId="0" applyFill="1" applyBorder="1" applyAlignment="1"/>
    <xf numFmtId="0" fontId="0" fillId="2" borderId="7" xfId="0" applyFill="1" applyBorder="1" applyAlignment="1"/>
    <xf numFmtId="0" fontId="0" fillId="0" borderId="7" xfId="0" applyBorder="1" applyAlignment="1"/>
    <xf numFmtId="0" fontId="0" fillId="2" borderId="9" xfId="0" applyFill="1" applyBorder="1" applyAlignment="1"/>
    <xf numFmtId="0" fontId="4" fillId="0" borderId="50" xfId="0" applyFont="1" applyBorder="1" applyAlignment="1"/>
    <xf numFmtId="0" fontId="4" fillId="0" borderId="20" xfId="0" applyFont="1" applyBorder="1" applyAlignment="1"/>
    <xf numFmtId="0" fontId="4" fillId="0" borderId="5" xfId="0" applyFont="1" applyBorder="1" applyAlignment="1"/>
  </cellXfs>
  <cellStyles count="3">
    <cellStyle name="Normal" xfId="0" builtinId="0"/>
    <cellStyle name="Normal 2" xfId="2" xr:uid="{00000000-0005-0000-0000-000002000000}"/>
    <cellStyle name="Normal 3" xfId="1" xr:uid="{00000000-0005-0000-0000-000003000000}"/>
  </cellStyles>
  <dxfs count="2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rgb="FFFFFF00"/>
        </patternFill>
      </fill>
      <alignment horizontal="general" vertical="center" textRotation="0" wrapText="1" indent="0" justifyLastLine="0" shrinkToFit="0" readingOrder="0"/>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fill>
        <patternFill>
          <bgColor rgb="FFFFC0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12:M17" insertRowShift="1" totalsRowShown="0" headerRowDxfId="14" dataDxfId="13">
  <autoFilter ref="A12:M17" xr:uid="{00000000-0009-0000-0100-000002000000}"/>
  <tableColumns count="13">
    <tableColumn id="1" xr3:uid="{00000000-0010-0000-0000-000001000000}" name="Sr. No." dataDxfId="12"/>
    <tableColumn id="2" xr3:uid="{00000000-0010-0000-0000-000002000000}" name="Date of Audit" dataDxfId="11"/>
    <tableColumn id="11" xr3:uid="{00000000-0010-0000-0000-00000B000000}" name="Category" dataDxfId="10"/>
    <tableColumn id="3" xr3:uid="{00000000-0010-0000-0000-000003000000}" name="Finding" dataDxfId="9"/>
    <tableColumn id="4" xr3:uid="{00000000-0010-0000-0000-000004000000}" name="Area" dataDxfId="8"/>
    <tableColumn id="12" xr3:uid="{00000000-0010-0000-0000-00000C000000}" name="Details" dataDxfId="7"/>
    <tableColumn id="5" xr3:uid="{00000000-0010-0000-0000-000005000000}" name="Cause" dataDxfId="6"/>
    <tableColumn id="6" xr3:uid="{00000000-0010-0000-0000-000006000000}" name="Correction" dataDxfId="5"/>
    <tableColumn id="7" xr3:uid="{00000000-0010-0000-0000-000007000000}" name="Prevention" dataDxfId="4"/>
    <tableColumn id="8" xr3:uid="{00000000-0010-0000-0000-000008000000}" name="Status" dataDxfId="3"/>
    <tableColumn id="9" xr3:uid="{00000000-0010-0000-0000-000009000000}" name="Closed Date" dataDxfId="2"/>
    <tableColumn id="10" xr3:uid="{00000000-0010-0000-0000-00000A000000}" name="Closure Comments" dataDxfId="1"/>
    <tableColumn id="13" xr3:uid="{8462B099-4BE6-4717-A970-B21B0523690C}" name="Column1" dataDxfId="0"/>
  </tableColumns>
  <tableStyleInfo name="TableStyleLight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881C-7663-4AAD-B9FF-ADAAEBF89605}">
  <dimension ref="A1:AA305"/>
  <sheetViews>
    <sheetView showGridLines="0" tabSelected="1" topLeftCell="B25" zoomScaleNormal="100" workbookViewId="0">
      <selection activeCell="L29" sqref="L29"/>
    </sheetView>
  </sheetViews>
  <sheetFormatPr defaultRowHeight="15" customHeight="1"/>
  <cols>
    <col min="1" max="1" width="9.140625" style="57"/>
    <col min="2" max="2" width="27.85546875" style="1" customWidth="1"/>
    <col min="3" max="3" width="22.85546875" style="1" customWidth="1"/>
    <col min="4" max="5" width="8.7109375" style="3"/>
    <col min="6" max="6" width="11.5703125" style="3" customWidth="1"/>
    <col min="7" max="7" width="16.5703125" style="3" bestFit="1" customWidth="1"/>
    <col min="8" max="11" width="8.7109375" style="3"/>
    <col min="12" max="12" width="16.140625" customWidth="1"/>
    <col min="13" max="13" width="10.7109375" style="85" bestFit="1" customWidth="1"/>
    <col min="14" max="14" width="10.7109375" style="31" customWidth="1"/>
    <col min="15" max="15" width="14.7109375" style="29" bestFit="1" customWidth="1"/>
    <col min="16" max="16" width="14.7109375" style="29" customWidth="1"/>
    <col min="19" max="19" width="39.140625" customWidth="1"/>
    <col min="23" max="23" width="15.5703125" hidden="1" customWidth="1"/>
    <col min="24" max="25" width="8.7109375" hidden="1" customWidth="1"/>
    <col min="26" max="26" width="6.85546875" hidden="1" customWidth="1"/>
  </cols>
  <sheetData>
    <row r="1" spans="1:27" ht="23.1" customHeight="1">
      <c r="A1" s="275" t="s">
        <v>0</v>
      </c>
      <c r="B1" s="276"/>
      <c r="C1" s="276"/>
      <c r="D1" s="276"/>
      <c r="E1" s="276"/>
      <c r="F1" s="276"/>
      <c r="G1" s="276"/>
      <c r="H1" s="276"/>
      <c r="I1" s="276"/>
      <c r="J1" s="276"/>
      <c r="K1" s="276"/>
      <c r="L1" s="276"/>
      <c r="M1" s="276"/>
      <c r="N1" s="276"/>
      <c r="O1" s="277"/>
      <c r="P1" s="62"/>
    </row>
    <row r="2" spans="1:27" ht="14.45"/>
    <row r="3" spans="1:27" ht="14.45" customHeight="1">
      <c r="A3" s="297" t="s">
        <v>1</v>
      </c>
      <c r="B3" s="298"/>
      <c r="C3" s="282"/>
      <c r="D3" s="283"/>
      <c r="E3" s="283"/>
      <c r="F3" s="283"/>
      <c r="G3" s="283"/>
      <c r="H3" s="284" t="s">
        <v>2</v>
      </c>
      <c r="I3" s="285"/>
      <c r="J3" s="301" t="s">
        <v>3</v>
      </c>
      <c r="K3" s="302"/>
      <c r="L3" s="302"/>
      <c r="M3" s="302"/>
      <c r="N3" s="302"/>
      <c r="O3" s="303"/>
      <c r="P3" s="62"/>
    </row>
    <row r="4" spans="1:27" ht="14.45" customHeight="1">
      <c r="A4" s="299" t="s">
        <v>4</v>
      </c>
      <c r="B4" s="300"/>
      <c r="C4" s="286"/>
      <c r="D4" s="287"/>
      <c r="E4" s="287"/>
      <c r="F4" s="287"/>
      <c r="G4" s="287"/>
      <c r="H4" s="278" t="s">
        <v>5</v>
      </c>
      <c r="I4" s="279"/>
      <c r="J4" s="304"/>
      <c r="K4" s="305"/>
      <c r="L4" s="305"/>
      <c r="M4" s="305"/>
      <c r="N4" s="305"/>
      <c r="O4" s="306"/>
      <c r="P4" s="62"/>
    </row>
    <row r="5" spans="1:27" ht="14.45" customHeight="1">
      <c r="A5" s="299" t="s">
        <v>6</v>
      </c>
      <c r="B5" s="300"/>
      <c r="C5" s="280">
        <v>46100</v>
      </c>
      <c r="D5" s="281"/>
      <c r="E5" s="281"/>
      <c r="F5" s="281"/>
      <c r="G5" s="281"/>
      <c r="H5" s="278" t="s">
        <v>7</v>
      </c>
      <c r="I5" s="279"/>
      <c r="J5" s="304" t="s">
        <v>8</v>
      </c>
      <c r="K5" s="305"/>
      <c r="L5" s="305"/>
      <c r="M5" s="305"/>
      <c r="N5" s="305"/>
      <c r="O5" s="306"/>
      <c r="P5" s="62"/>
    </row>
    <row r="6" spans="1:27" ht="14.45" customHeight="1">
      <c r="A6" s="299" t="s">
        <v>9</v>
      </c>
      <c r="B6" s="300"/>
      <c r="C6" s="280" t="s">
        <v>10</v>
      </c>
      <c r="D6" s="281"/>
      <c r="E6" s="281"/>
      <c r="F6" s="281"/>
      <c r="G6" s="281"/>
      <c r="H6" s="278" t="s">
        <v>11</v>
      </c>
      <c r="I6" s="279"/>
      <c r="J6" s="307">
        <v>46216</v>
      </c>
      <c r="K6" s="308"/>
      <c r="L6" s="308"/>
      <c r="M6" s="308"/>
      <c r="N6" s="308"/>
      <c r="O6" s="309"/>
      <c r="P6" s="62"/>
    </row>
    <row r="7" spans="1:27" ht="15" customHeight="1">
      <c r="A7" s="288" t="s">
        <v>12</v>
      </c>
      <c r="B7" s="289"/>
      <c r="C7" s="290" t="s">
        <v>13</v>
      </c>
      <c r="D7" s="291"/>
      <c r="E7" s="291"/>
      <c r="F7" s="291"/>
      <c r="G7" s="291"/>
      <c r="H7" s="292" t="s">
        <v>14</v>
      </c>
      <c r="I7" s="293"/>
      <c r="J7" s="333"/>
      <c r="K7" s="334"/>
      <c r="L7" s="334"/>
      <c r="M7" s="334"/>
      <c r="N7" s="334"/>
      <c r="O7" s="335"/>
      <c r="P7" s="62"/>
    </row>
    <row r="8" spans="1:27" ht="14.45"/>
    <row r="9" spans="1:27" ht="21">
      <c r="E9" s="326" t="s">
        <v>15</v>
      </c>
      <c r="F9" s="327"/>
      <c r="G9" s="105">
        <f>AVERAGE(P12:P300)/25*100</f>
        <v>70.786296056884296</v>
      </c>
      <c r="J9"/>
      <c r="K9" s="29"/>
      <c r="M9" s="72"/>
      <c r="N9"/>
      <c r="O9"/>
      <c r="P9" s="62"/>
    </row>
    <row r="10" spans="1:27" ht="14.45">
      <c r="L10" s="29"/>
      <c r="M10" s="72"/>
      <c r="N10"/>
      <c r="O10" s="31"/>
      <c r="Q10" s="68"/>
    </row>
    <row r="11" spans="1:27" s="1" customFormat="1" ht="14.45">
      <c r="A11" s="58" t="s">
        <v>16</v>
      </c>
      <c r="B11" s="28" t="s">
        <v>17</v>
      </c>
      <c r="C11" s="28" t="s">
        <v>18</v>
      </c>
      <c r="D11" s="328" t="s">
        <v>19</v>
      </c>
      <c r="E11" s="328"/>
      <c r="F11" s="328"/>
      <c r="G11" s="328"/>
      <c r="H11" s="328"/>
      <c r="I11" s="328"/>
      <c r="J11" s="328"/>
      <c r="K11" s="329"/>
      <c r="L11" s="65" t="s">
        <v>20</v>
      </c>
      <c r="M11" s="84" t="s">
        <v>21</v>
      </c>
      <c r="N11" s="67" t="s">
        <v>22</v>
      </c>
      <c r="O11" s="66" t="s">
        <v>23</v>
      </c>
      <c r="P11" s="64" t="s">
        <v>24</v>
      </c>
      <c r="Q11" s="330" t="s">
        <v>25</v>
      </c>
      <c r="R11" s="331"/>
      <c r="S11" s="332"/>
      <c r="W11" s="6" t="s">
        <v>26</v>
      </c>
      <c r="X11" s="7"/>
      <c r="Y11" s="7"/>
      <c r="Z11" s="8"/>
    </row>
    <row r="12" spans="1:27" ht="14.45">
      <c r="A12" s="158">
        <v>1</v>
      </c>
      <c r="B12" s="157" t="s">
        <v>27</v>
      </c>
      <c r="C12" s="157" t="s">
        <v>28</v>
      </c>
      <c r="D12" s="162" t="s">
        <v>29</v>
      </c>
      <c r="E12" s="163"/>
      <c r="F12" s="163"/>
      <c r="G12" s="163"/>
      <c r="H12" s="163"/>
      <c r="I12" s="163"/>
      <c r="J12" s="163"/>
      <c r="K12" s="164"/>
      <c r="L12" s="46" t="s">
        <v>30</v>
      </c>
      <c r="M12" s="83">
        <v>5</v>
      </c>
      <c r="N12" s="47">
        <f>IF(L12="NA","",
IF(L12="Yes",5,
IF(L12="Partial",4,
IF(L12="In Progress",3,
IF(L12="Not clarified",2,
IF(L12="No",0,""))))))</f>
        <v>5</v>
      </c>
      <c r="O12" s="47">
        <f>IF(N12="","",N12*M12)</f>
        <v>25</v>
      </c>
      <c r="P12" s="317">
        <f>IFERROR(AVERAGE(O12:O22),"")</f>
        <v>17.90909090909091</v>
      </c>
      <c r="Q12" s="368" t="s">
        <v>31</v>
      </c>
      <c r="R12" s="369"/>
      <c r="S12" s="370"/>
      <c r="W12" s="9" t="s">
        <v>32</v>
      </c>
      <c r="X12" s="2">
        <f>COUNTIF(L12:L300,"No")</f>
        <v>35</v>
      </c>
      <c r="Y12" s="2"/>
      <c r="Z12" s="10"/>
    </row>
    <row r="13" spans="1:27" ht="14.45">
      <c r="A13" s="134"/>
      <c r="B13" s="141"/>
      <c r="C13" s="141"/>
      <c r="D13" s="136" t="s">
        <v>33</v>
      </c>
      <c r="E13" s="128"/>
      <c r="F13" s="128"/>
      <c r="G13" s="128"/>
      <c r="H13" s="128"/>
      <c r="I13" s="128"/>
      <c r="J13" s="128"/>
      <c r="K13" s="129"/>
      <c r="L13" s="46" t="s">
        <v>30</v>
      </c>
      <c r="M13" s="83">
        <v>5</v>
      </c>
      <c r="N13" s="47">
        <f t="shared" ref="N13:N67" si="0">IF(L13="NA","",
IF(L13="Yes",5,
IF(L13="Partial",4,
IF(L13="In Progress",3,
IF(L13="Not clarified",2,
IF(L13="No",0,""))))))</f>
        <v>5</v>
      </c>
      <c r="O13" s="47">
        <f t="shared" ref="O13:O67" si="1">IF(N13="","",N13*M13)</f>
        <v>25</v>
      </c>
      <c r="P13" s="184"/>
      <c r="Q13" s="269" t="s">
        <v>34</v>
      </c>
      <c r="R13" s="270"/>
      <c r="S13" s="271"/>
      <c r="W13" s="44"/>
      <c r="X13" s="15"/>
      <c r="Y13" s="45"/>
    </row>
    <row r="14" spans="1:27" ht="14.45">
      <c r="A14" s="134"/>
      <c r="B14" s="141"/>
      <c r="C14" s="141"/>
      <c r="D14" s="136" t="s">
        <v>35</v>
      </c>
      <c r="E14" s="128"/>
      <c r="F14" s="128"/>
      <c r="G14" s="128"/>
      <c r="H14" s="128"/>
      <c r="I14" s="128"/>
      <c r="J14" s="128"/>
      <c r="K14" s="129"/>
      <c r="L14" s="46" t="s">
        <v>30</v>
      </c>
      <c r="M14" s="83">
        <v>4</v>
      </c>
      <c r="N14" s="47">
        <f>IF(L14="NA","",
IF(L14="Yes",5,
IF(L14="Partial",4,
IF(L14="In Progress",3,
IF(L14="Not clarified",2,
IF(L14="No",0,""))))))</f>
        <v>5</v>
      </c>
      <c r="O14" s="47">
        <f t="shared" si="1"/>
        <v>20</v>
      </c>
      <c r="P14" s="184"/>
      <c r="Q14" s="371" t="s">
        <v>36</v>
      </c>
      <c r="R14" s="372"/>
      <c r="S14" s="373"/>
      <c r="V14" s="341"/>
      <c r="W14" s="341"/>
      <c r="X14" s="341"/>
      <c r="Y14" s="341"/>
      <c r="Z14" s="341"/>
      <c r="AA14" s="341"/>
    </row>
    <row r="15" spans="1:27" s="72" customFormat="1" ht="93.6" customHeight="1">
      <c r="A15" s="134"/>
      <c r="B15" s="141"/>
      <c r="C15" s="141"/>
      <c r="D15" s="214" t="s">
        <v>37</v>
      </c>
      <c r="E15" s="175"/>
      <c r="F15" s="175"/>
      <c r="G15" s="175"/>
      <c r="H15" s="175"/>
      <c r="I15" s="175"/>
      <c r="J15" s="175"/>
      <c r="K15" s="176"/>
      <c r="L15" s="46" t="s">
        <v>30</v>
      </c>
      <c r="M15" s="83">
        <v>5</v>
      </c>
      <c r="N15" s="47">
        <f t="shared" si="0"/>
        <v>5</v>
      </c>
      <c r="O15" s="47">
        <f t="shared" si="1"/>
        <v>25</v>
      </c>
      <c r="P15" s="184"/>
      <c r="Q15" s="272" t="s">
        <v>38</v>
      </c>
      <c r="R15" s="273"/>
      <c r="S15" s="274"/>
      <c r="W15" s="111" t="s">
        <v>39</v>
      </c>
      <c r="X15" s="46">
        <f>COUNTIF(L12:L300,"Yes")</f>
        <v>112</v>
      </c>
      <c r="Y15" s="46"/>
      <c r="Z15" s="112"/>
    </row>
    <row r="16" spans="1:27" s="72" customFormat="1" ht="53.25" customHeight="1">
      <c r="A16" s="134"/>
      <c r="B16" s="141"/>
      <c r="C16" s="141"/>
      <c r="D16" s="214" t="s">
        <v>40</v>
      </c>
      <c r="E16" s="175"/>
      <c r="F16" s="175"/>
      <c r="G16" s="175"/>
      <c r="H16" s="175"/>
      <c r="I16" s="175"/>
      <c r="J16" s="175"/>
      <c r="K16" s="176"/>
      <c r="L16" s="46" t="s">
        <v>41</v>
      </c>
      <c r="M16" s="83">
        <v>5</v>
      </c>
      <c r="N16" s="47">
        <f t="shared" si="0"/>
        <v>0</v>
      </c>
      <c r="O16" s="47">
        <f t="shared" si="1"/>
        <v>0</v>
      </c>
      <c r="P16" s="184"/>
      <c r="Q16" s="294" t="s">
        <v>42</v>
      </c>
      <c r="R16" s="295"/>
      <c r="S16" s="296"/>
      <c r="W16" s="73"/>
      <c r="X16" s="74"/>
      <c r="Y16" s="74"/>
      <c r="Z16" s="75"/>
    </row>
    <row r="17" spans="1:26" s="11" customFormat="1" ht="67.5" customHeight="1">
      <c r="A17" s="134"/>
      <c r="B17" s="141"/>
      <c r="C17" s="141"/>
      <c r="D17" s="174" t="s">
        <v>43</v>
      </c>
      <c r="E17" s="313"/>
      <c r="F17" s="313"/>
      <c r="G17" s="313"/>
      <c r="H17" s="313"/>
      <c r="I17" s="313"/>
      <c r="J17" s="313"/>
      <c r="K17" s="314"/>
      <c r="L17" s="113" t="s">
        <v>30</v>
      </c>
      <c r="M17" s="114">
        <v>4</v>
      </c>
      <c r="N17" s="115">
        <f t="shared" si="0"/>
        <v>5</v>
      </c>
      <c r="O17" s="115">
        <f t="shared" si="1"/>
        <v>20</v>
      </c>
      <c r="P17" s="184"/>
      <c r="Q17" s="272" t="s">
        <v>44</v>
      </c>
      <c r="R17" s="273"/>
      <c r="S17" s="274"/>
      <c r="W17" s="116" t="s">
        <v>45</v>
      </c>
      <c r="X17" s="117">
        <f>X12+W14+X15</f>
        <v>147</v>
      </c>
      <c r="Y17" s="117" t="s">
        <v>46</v>
      </c>
      <c r="Z17" s="118">
        <f>Y14/X17</f>
        <v>0</v>
      </c>
    </row>
    <row r="18" spans="1:26" s="72" customFormat="1" ht="69" customHeight="1">
      <c r="A18" s="134"/>
      <c r="B18" s="141"/>
      <c r="C18" s="141"/>
      <c r="D18" s="214" t="s">
        <v>47</v>
      </c>
      <c r="E18" s="175"/>
      <c r="F18" s="175"/>
      <c r="G18" s="175"/>
      <c r="H18" s="175"/>
      <c r="I18" s="175"/>
      <c r="J18" s="175"/>
      <c r="K18" s="176"/>
      <c r="L18" s="46" t="s">
        <v>30</v>
      </c>
      <c r="M18" s="83">
        <v>4</v>
      </c>
      <c r="N18" s="47">
        <f t="shared" si="0"/>
        <v>5</v>
      </c>
      <c r="O18" s="47">
        <f t="shared" si="1"/>
        <v>20</v>
      </c>
      <c r="P18" s="184"/>
      <c r="Q18" s="124" t="s">
        <v>48</v>
      </c>
      <c r="R18" s="125"/>
      <c r="S18" s="126"/>
    </row>
    <row r="19" spans="1:26" ht="45.95" customHeight="1">
      <c r="A19" s="134"/>
      <c r="B19" s="141"/>
      <c r="C19" s="141"/>
      <c r="D19" s="310" t="s">
        <v>49</v>
      </c>
      <c r="E19" s="311"/>
      <c r="F19" s="311"/>
      <c r="G19" s="311"/>
      <c r="H19" s="311"/>
      <c r="I19" s="311"/>
      <c r="J19" s="311"/>
      <c r="K19" s="312"/>
      <c r="L19" s="46" t="s">
        <v>30</v>
      </c>
      <c r="M19" s="83">
        <v>5</v>
      </c>
      <c r="N19" s="47">
        <f t="shared" si="0"/>
        <v>5</v>
      </c>
      <c r="O19" s="47">
        <f t="shared" si="1"/>
        <v>25</v>
      </c>
      <c r="P19" s="184"/>
      <c r="Q19" s="315" t="s">
        <v>50</v>
      </c>
      <c r="R19" s="315"/>
      <c r="S19" s="316"/>
    </row>
    <row r="20" spans="1:26" s="72" customFormat="1" ht="62.45" customHeight="1">
      <c r="A20" s="134"/>
      <c r="B20" s="141"/>
      <c r="C20" s="141"/>
      <c r="D20" s="174" t="s">
        <v>51</v>
      </c>
      <c r="E20" s="313"/>
      <c r="F20" s="313"/>
      <c r="G20" s="313"/>
      <c r="H20" s="313"/>
      <c r="I20" s="313"/>
      <c r="J20" s="313"/>
      <c r="K20" s="314"/>
      <c r="L20" s="46" t="s">
        <v>52</v>
      </c>
      <c r="M20" s="83">
        <v>3</v>
      </c>
      <c r="N20" s="47">
        <f t="shared" si="0"/>
        <v>4</v>
      </c>
      <c r="O20" s="47">
        <f t="shared" si="1"/>
        <v>12</v>
      </c>
      <c r="P20" s="184"/>
      <c r="Q20" s="125" t="s">
        <v>53</v>
      </c>
      <c r="R20" s="125"/>
      <c r="S20" s="126"/>
    </row>
    <row r="21" spans="1:26" ht="14.45">
      <c r="A21" s="134"/>
      <c r="B21" s="141"/>
      <c r="C21" s="141"/>
      <c r="D21" s="168" t="s">
        <v>54</v>
      </c>
      <c r="E21" s="169"/>
      <c r="F21" s="169"/>
      <c r="G21" s="169"/>
      <c r="H21" s="169"/>
      <c r="I21" s="169"/>
      <c r="J21" s="169"/>
      <c r="K21" s="170"/>
      <c r="L21" s="46" t="s">
        <v>30</v>
      </c>
      <c r="M21" s="83">
        <v>2</v>
      </c>
      <c r="N21" s="47">
        <f t="shared" si="0"/>
        <v>5</v>
      </c>
      <c r="O21" s="47">
        <f t="shared" si="1"/>
        <v>10</v>
      </c>
      <c r="P21" s="184"/>
      <c r="Q21" s="374"/>
      <c r="R21" s="374"/>
      <c r="S21" s="375"/>
    </row>
    <row r="22" spans="1:26" s="72" customFormat="1" ht="66.599999999999994" customHeight="1">
      <c r="A22" s="134"/>
      <c r="B22" s="141"/>
      <c r="C22" s="142"/>
      <c r="D22" s="174" t="s">
        <v>55</v>
      </c>
      <c r="E22" s="313"/>
      <c r="F22" s="313"/>
      <c r="G22" s="313"/>
      <c r="H22" s="313"/>
      <c r="I22" s="313"/>
      <c r="J22" s="313"/>
      <c r="K22" s="314"/>
      <c r="L22" s="46" t="s">
        <v>30</v>
      </c>
      <c r="M22" s="83">
        <v>3</v>
      </c>
      <c r="N22" s="47">
        <f t="shared" si="0"/>
        <v>5</v>
      </c>
      <c r="O22" s="47">
        <f t="shared" si="1"/>
        <v>15</v>
      </c>
      <c r="P22" s="185"/>
      <c r="Q22" s="125" t="s">
        <v>56</v>
      </c>
      <c r="R22" s="125"/>
      <c r="S22" s="126"/>
    </row>
    <row r="23" spans="1:26" ht="14.45">
      <c r="A23" s="134"/>
      <c r="B23" s="141"/>
      <c r="C23" s="4"/>
      <c r="D23" s="186"/>
      <c r="E23" s="122"/>
      <c r="F23" s="122"/>
      <c r="G23" s="122"/>
      <c r="H23" s="122"/>
      <c r="I23" s="122"/>
      <c r="J23" s="122"/>
      <c r="K23" s="123"/>
      <c r="L23" s="30"/>
      <c r="M23" s="47"/>
      <c r="N23" s="47" t="str">
        <f t="shared" si="0"/>
        <v/>
      </c>
      <c r="O23" s="47" t="str">
        <f t="shared" si="1"/>
        <v/>
      </c>
      <c r="P23" s="88"/>
      <c r="Q23" s="376"/>
      <c r="R23" s="374"/>
      <c r="S23" s="375"/>
    </row>
    <row r="24" spans="1:26" ht="14.45">
      <c r="A24" s="134"/>
      <c r="B24" s="141"/>
      <c r="C24" s="140" t="s">
        <v>57</v>
      </c>
      <c r="D24" s="136" t="s">
        <v>58</v>
      </c>
      <c r="E24" s="128"/>
      <c r="F24" s="128"/>
      <c r="G24" s="128"/>
      <c r="H24" s="128"/>
      <c r="I24" s="128"/>
      <c r="J24" s="128"/>
      <c r="K24" s="129"/>
      <c r="L24" s="2" t="s">
        <v>52</v>
      </c>
      <c r="M24" s="83">
        <v>4</v>
      </c>
      <c r="N24" s="47">
        <f t="shared" si="0"/>
        <v>4</v>
      </c>
      <c r="O24" s="47">
        <f>IF(N24="","",N24*M24)</f>
        <v>16</v>
      </c>
      <c r="P24" s="183">
        <f>IFERROR(AVERAGE(O24:O27),"")</f>
        <v>18</v>
      </c>
      <c r="Q24" s="376" t="s">
        <v>59</v>
      </c>
      <c r="R24" s="374"/>
      <c r="S24" s="375"/>
    </row>
    <row r="25" spans="1:26" s="72" customFormat="1" ht="92.1" customHeight="1">
      <c r="A25" s="134"/>
      <c r="B25" s="141"/>
      <c r="C25" s="141"/>
      <c r="D25" s="165" t="s">
        <v>60</v>
      </c>
      <c r="E25" s="166"/>
      <c r="F25" s="166"/>
      <c r="G25" s="166"/>
      <c r="H25" s="166"/>
      <c r="I25" s="166"/>
      <c r="J25" s="166"/>
      <c r="K25" s="167"/>
      <c r="L25" s="104" t="s">
        <v>52</v>
      </c>
      <c r="M25" s="83">
        <v>4</v>
      </c>
      <c r="N25" s="47">
        <f t="shared" si="0"/>
        <v>4</v>
      </c>
      <c r="O25" s="47">
        <f t="shared" si="1"/>
        <v>16</v>
      </c>
      <c r="P25" s="184"/>
      <c r="Q25" s="124" t="s">
        <v>61</v>
      </c>
      <c r="R25" s="125"/>
      <c r="S25" s="126"/>
    </row>
    <row r="26" spans="1:26" ht="14.45">
      <c r="A26" s="134"/>
      <c r="B26" s="141"/>
      <c r="C26" s="141"/>
      <c r="D26" s="136" t="s">
        <v>62</v>
      </c>
      <c r="E26" s="128"/>
      <c r="F26" s="128"/>
      <c r="G26" s="128"/>
      <c r="H26" s="128"/>
      <c r="I26" s="128"/>
      <c r="J26" s="128"/>
      <c r="K26" s="129"/>
      <c r="L26" s="104" t="s">
        <v>52</v>
      </c>
      <c r="M26" s="83">
        <v>5</v>
      </c>
      <c r="N26" s="47">
        <f t="shared" si="0"/>
        <v>4</v>
      </c>
      <c r="O26" s="47">
        <f t="shared" si="1"/>
        <v>20</v>
      </c>
      <c r="P26" s="184"/>
      <c r="Q26" s="376" t="s">
        <v>30</v>
      </c>
      <c r="R26" s="374"/>
      <c r="S26" s="375"/>
    </row>
    <row r="27" spans="1:26" s="72" customFormat="1" ht="53.1" customHeight="1">
      <c r="A27" s="134"/>
      <c r="B27" s="141"/>
      <c r="C27" s="142"/>
      <c r="D27" s="165" t="s">
        <v>63</v>
      </c>
      <c r="E27" s="166"/>
      <c r="F27" s="166"/>
      <c r="G27" s="166"/>
      <c r="H27" s="166"/>
      <c r="I27" s="166"/>
      <c r="J27" s="166"/>
      <c r="K27" s="167"/>
      <c r="L27" s="104" t="s">
        <v>52</v>
      </c>
      <c r="M27" s="83">
        <v>5</v>
      </c>
      <c r="N27" s="47">
        <f t="shared" si="0"/>
        <v>4</v>
      </c>
      <c r="O27" s="47">
        <f t="shared" si="1"/>
        <v>20</v>
      </c>
      <c r="P27" s="185"/>
      <c r="Q27" s="124" t="s">
        <v>64</v>
      </c>
      <c r="R27" s="125"/>
      <c r="S27" s="126"/>
    </row>
    <row r="28" spans="1:26" ht="14.45">
      <c r="A28" s="134"/>
      <c r="B28" s="141"/>
      <c r="C28" s="4"/>
      <c r="D28" s="186"/>
      <c r="E28" s="122"/>
      <c r="F28" s="122"/>
      <c r="G28" s="122"/>
      <c r="H28" s="122"/>
      <c r="I28" s="122"/>
      <c r="J28" s="122"/>
      <c r="K28" s="123"/>
      <c r="L28" s="32"/>
      <c r="M28" s="47"/>
      <c r="N28" s="47" t="str">
        <f t="shared" si="0"/>
        <v/>
      </c>
      <c r="O28" s="47" t="str">
        <f t="shared" si="1"/>
        <v/>
      </c>
      <c r="P28" s="54"/>
      <c r="Q28" s="376"/>
      <c r="R28" s="374"/>
      <c r="S28" s="375"/>
    </row>
    <row r="29" spans="1:26" s="72" customFormat="1" ht="54.6" customHeight="1">
      <c r="A29" s="134"/>
      <c r="B29" s="141"/>
      <c r="C29" s="140" t="s">
        <v>65</v>
      </c>
      <c r="D29" s="165" t="s">
        <v>66</v>
      </c>
      <c r="E29" s="166"/>
      <c r="F29" s="166"/>
      <c r="G29" s="166"/>
      <c r="H29" s="166"/>
      <c r="I29" s="166"/>
      <c r="J29" s="166"/>
      <c r="K29" s="167"/>
      <c r="L29" s="104" t="s">
        <v>30</v>
      </c>
      <c r="M29" s="83">
        <v>5</v>
      </c>
      <c r="N29" s="47">
        <f t="shared" si="0"/>
        <v>5</v>
      </c>
      <c r="O29" s="47">
        <f t="shared" si="1"/>
        <v>25</v>
      </c>
      <c r="P29" s="183">
        <f>IFERROR(AVERAGE(O29:O36),"")</f>
        <v>13.5</v>
      </c>
      <c r="Q29" s="224" t="s">
        <v>67</v>
      </c>
      <c r="R29" s="225"/>
      <c r="S29" s="226"/>
    </row>
    <row r="30" spans="1:26" s="72" customFormat="1" ht="50.1" customHeight="1">
      <c r="A30" s="134"/>
      <c r="B30" s="141"/>
      <c r="C30" s="141"/>
      <c r="D30" s="165" t="s">
        <v>68</v>
      </c>
      <c r="E30" s="166"/>
      <c r="F30" s="166"/>
      <c r="G30" s="166"/>
      <c r="H30" s="166"/>
      <c r="I30" s="166"/>
      <c r="J30" s="166"/>
      <c r="K30" s="167"/>
      <c r="L30" s="104" t="s">
        <v>69</v>
      </c>
      <c r="M30" s="83">
        <v>5</v>
      </c>
      <c r="N30" s="47" t="str">
        <f t="shared" si="0"/>
        <v/>
      </c>
      <c r="O30" s="47" t="str">
        <f t="shared" si="1"/>
        <v/>
      </c>
      <c r="P30" s="184"/>
      <c r="Q30" s="224" t="s">
        <v>70</v>
      </c>
      <c r="R30" s="225"/>
      <c r="S30" s="226"/>
    </row>
    <row r="31" spans="1:26" s="72" customFormat="1" ht="50.1" customHeight="1">
      <c r="A31" s="134"/>
      <c r="B31" s="141"/>
      <c r="C31" s="141"/>
      <c r="D31" s="165" t="s">
        <v>71</v>
      </c>
      <c r="E31" s="166"/>
      <c r="F31" s="166"/>
      <c r="G31" s="166"/>
      <c r="H31" s="166"/>
      <c r="I31" s="166"/>
      <c r="J31" s="166"/>
      <c r="K31" s="167"/>
      <c r="L31" s="104" t="s">
        <v>52</v>
      </c>
      <c r="M31" s="83">
        <v>5</v>
      </c>
      <c r="N31" s="47">
        <f t="shared" si="0"/>
        <v>4</v>
      </c>
      <c r="O31" s="47">
        <f t="shared" si="1"/>
        <v>20</v>
      </c>
      <c r="P31" s="184"/>
      <c r="Q31" s="224" t="s">
        <v>72</v>
      </c>
      <c r="R31" s="225"/>
      <c r="S31" s="226"/>
    </row>
    <row r="32" spans="1:26" s="72" customFormat="1" ht="61.5" customHeight="1">
      <c r="A32" s="134"/>
      <c r="B32" s="141"/>
      <c r="C32" s="141"/>
      <c r="D32" s="165" t="s">
        <v>73</v>
      </c>
      <c r="E32" s="166"/>
      <c r="F32" s="166"/>
      <c r="G32" s="166"/>
      <c r="H32" s="166"/>
      <c r="I32" s="166"/>
      <c r="J32" s="166"/>
      <c r="K32" s="167"/>
      <c r="L32" s="104" t="s">
        <v>52</v>
      </c>
      <c r="M32" s="83">
        <v>4</v>
      </c>
      <c r="N32" s="47">
        <f t="shared" si="0"/>
        <v>4</v>
      </c>
      <c r="O32" s="47">
        <f t="shared" si="1"/>
        <v>16</v>
      </c>
      <c r="P32" s="184"/>
      <c r="Q32" s="224" t="s">
        <v>74</v>
      </c>
      <c r="R32" s="225"/>
      <c r="S32" s="226"/>
    </row>
    <row r="33" spans="1:19" ht="14.45">
      <c r="A33" s="134"/>
      <c r="B33" s="141"/>
      <c r="C33" s="141"/>
      <c r="D33" s="136" t="s">
        <v>75</v>
      </c>
      <c r="E33" s="128"/>
      <c r="F33" s="128"/>
      <c r="G33" s="128"/>
      <c r="H33" s="128"/>
      <c r="I33" s="128"/>
      <c r="J33" s="128"/>
      <c r="K33" s="129"/>
      <c r="L33" s="2" t="s">
        <v>30</v>
      </c>
      <c r="M33" s="83">
        <v>4</v>
      </c>
      <c r="N33" s="47">
        <f t="shared" si="0"/>
        <v>5</v>
      </c>
      <c r="O33" s="47">
        <f t="shared" si="1"/>
        <v>20</v>
      </c>
      <c r="P33" s="184"/>
      <c r="Q33" s="121"/>
      <c r="R33" s="122"/>
      <c r="S33" s="123"/>
    </row>
    <row r="34" spans="1:19" s="72" customFormat="1" ht="48.95" customHeight="1">
      <c r="A34" s="134"/>
      <c r="B34" s="141"/>
      <c r="C34" s="141"/>
      <c r="D34" s="174" t="s">
        <v>76</v>
      </c>
      <c r="E34" s="175"/>
      <c r="F34" s="175"/>
      <c r="G34" s="175"/>
      <c r="H34" s="175"/>
      <c r="I34" s="175"/>
      <c r="J34" s="175"/>
      <c r="K34" s="176"/>
      <c r="L34" s="104" t="s">
        <v>41</v>
      </c>
      <c r="M34" s="83">
        <v>2</v>
      </c>
      <c r="N34" s="47">
        <f t="shared" si="0"/>
        <v>0</v>
      </c>
      <c r="O34" s="47">
        <f t="shared" si="1"/>
        <v>0</v>
      </c>
      <c r="P34" s="184"/>
      <c r="Q34" s="224" t="s">
        <v>77</v>
      </c>
      <c r="R34" s="225"/>
      <c r="S34" s="226"/>
    </row>
    <row r="35" spans="1:19" ht="14.45">
      <c r="A35" s="134"/>
      <c r="B35" s="141"/>
      <c r="C35" s="141"/>
      <c r="D35" s="168" t="s">
        <v>78</v>
      </c>
      <c r="E35" s="169"/>
      <c r="F35" s="169"/>
      <c r="G35" s="169"/>
      <c r="H35" s="169"/>
      <c r="I35" s="169"/>
      <c r="J35" s="169"/>
      <c r="K35" s="170"/>
      <c r="L35" s="104" t="s">
        <v>69</v>
      </c>
      <c r="M35" s="83">
        <v>3</v>
      </c>
      <c r="N35" s="47" t="str">
        <f t="shared" si="0"/>
        <v/>
      </c>
      <c r="O35" s="47" t="str">
        <f t="shared" si="1"/>
        <v/>
      </c>
      <c r="P35" s="184"/>
      <c r="Q35" s="237" t="s">
        <v>79</v>
      </c>
      <c r="R35" s="238"/>
      <c r="S35" s="239"/>
    </row>
    <row r="36" spans="1:19" ht="38.1" customHeight="1">
      <c r="A36" s="134"/>
      <c r="B36" s="141"/>
      <c r="C36" s="142"/>
      <c r="D36" s="177" t="s">
        <v>80</v>
      </c>
      <c r="E36" s="178"/>
      <c r="F36" s="178"/>
      <c r="G36" s="178"/>
      <c r="H36" s="178"/>
      <c r="I36" s="178"/>
      <c r="J36" s="178"/>
      <c r="K36" s="179"/>
      <c r="L36" s="104" t="s">
        <v>41</v>
      </c>
      <c r="M36" s="83">
        <v>4</v>
      </c>
      <c r="N36" s="47">
        <f t="shared" si="0"/>
        <v>0</v>
      </c>
      <c r="O36" s="47">
        <f t="shared" si="1"/>
        <v>0</v>
      </c>
      <c r="P36" s="185"/>
      <c r="Q36" s="243"/>
      <c r="R36" s="244"/>
      <c r="S36" s="245"/>
    </row>
    <row r="37" spans="1:19" s="19" customFormat="1" ht="14.45">
      <c r="A37" s="134"/>
      <c r="B37" s="141"/>
      <c r="C37" s="23"/>
      <c r="D37" s="171"/>
      <c r="E37" s="172"/>
      <c r="F37" s="172"/>
      <c r="G37" s="172"/>
      <c r="H37" s="172"/>
      <c r="I37" s="172"/>
      <c r="J37" s="172"/>
      <c r="K37" s="173"/>
      <c r="L37" s="2"/>
      <c r="M37" s="47"/>
      <c r="N37" s="47" t="str">
        <f t="shared" si="0"/>
        <v/>
      </c>
      <c r="O37" s="47" t="str">
        <f t="shared" si="1"/>
        <v/>
      </c>
      <c r="P37" s="63"/>
      <c r="Q37" s="377"/>
      <c r="R37" s="378"/>
      <c r="S37" s="379"/>
    </row>
    <row r="38" spans="1:19" s="72" customFormat="1" ht="36.950000000000003" customHeight="1">
      <c r="A38" s="134"/>
      <c r="B38" s="141"/>
      <c r="C38" s="140" t="s">
        <v>81</v>
      </c>
      <c r="D38" s="165" t="s">
        <v>82</v>
      </c>
      <c r="E38" s="166"/>
      <c r="F38" s="166"/>
      <c r="G38" s="166"/>
      <c r="H38" s="166"/>
      <c r="I38" s="166"/>
      <c r="J38" s="166"/>
      <c r="K38" s="167"/>
      <c r="L38" s="104" t="s">
        <v>30</v>
      </c>
      <c r="M38" s="83">
        <v>5</v>
      </c>
      <c r="N38" s="47">
        <f t="shared" si="0"/>
        <v>5</v>
      </c>
      <c r="O38" s="47">
        <f t="shared" si="1"/>
        <v>25</v>
      </c>
      <c r="P38" s="183">
        <f>IFERROR(AVERAGE(O38:O46),"")</f>
        <v>18.375</v>
      </c>
      <c r="Q38" s="124" t="s">
        <v>83</v>
      </c>
      <c r="R38" s="125"/>
      <c r="S38" s="126"/>
    </row>
    <row r="39" spans="1:19" s="72" customFormat="1" ht="54.95" customHeight="1">
      <c r="A39" s="134"/>
      <c r="B39" s="141"/>
      <c r="C39" s="141"/>
      <c r="D39" s="165" t="s">
        <v>84</v>
      </c>
      <c r="E39" s="166"/>
      <c r="F39" s="166"/>
      <c r="G39" s="166"/>
      <c r="H39" s="166"/>
      <c r="I39" s="166"/>
      <c r="J39" s="166"/>
      <c r="K39" s="167"/>
      <c r="L39" s="104" t="s">
        <v>30</v>
      </c>
      <c r="M39" s="83">
        <v>5</v>
      </c>
      <c r="N39" s="47">
        <f t="shared" si="0"/>
        <v>5</v>
      </c>
      <c r="O39" s="47">
        <f t="shared" si="1"/>
        <v>25</v>
      </c>
      <c r="P39" s="184"/>
      <c r="Q39" s="124" t="s">
        <v>85</v>
      </c>
      <c r="R39" s="125"/>
      <c r="S39" s="126"/>
    </row>
    <row r="40" spans="1:19" ht="14.45">
      <c r="A40" s="134"/>
      <c r="B40" s="141"/>
      <c r="C40" s="141"/>
      <c r="D40" s="136" t="s">
        <v>86</v>
      </c>
      <c r="E40" s="128"/>
      <c r="F40" s="128"/>
      <c r="G40" s="128"/>
      <c r="H40" s="128"/>
      <c r="I40" s="128"/>
      <c r="J40" s="128"/>
      <c r="K40" s="129"/>
      <c r="L40" s="2" t="s">
        <v>69</v>
      </c>
      <c r="M40" s="83">
        <v>3</v>
      </c>
      <c r="N40" s="47" t="str">
        <f t="shared" si="0"/>
        <v/>
      </c>
      <c r="O40" s="47" t="str">
        <f t="shared" si="1"/>
        <v/>
      </c>
      <c r="P40" s="184"/>
      <c r="Q40" s="121" t="s">
        <v>87</v>
      </c>
      <c r="R40" s="122"/>
      <c r="S40" s="123"/>
    </row>
    <row r="41" spans="1:19" s="72" customFormat="1" ht="45.6" customHeight="1">
      <c r="A41" s="134"/>
      <c r="B41" s="141"/>
      <c r="C41" s="141"/>
      <c r="D41" s="165" t="s">
        <v>88</v>
      </c>
      <c r="E41" s="166"/>
      <c r="F41" s="166"/>
      <c r="G41" s="166"/>
      <c r="H41" s="166"/>
      <c r="I41" s="166"/>
      <c r="J41" s="166"/>
      <c r="K41" s="167"/>
      <c r="L41" s="104" t="s">
        <v>30</v>
      </c>
      <c r="M41" s="83">
        <v>5</v>
      </c>
      <c r="N41" s="47">
        <f t="shared" si="0"/>
        <v>5</v>
      </c>
      <c r="O41" s="47">
        <f t="shared" si="1"/>
        <v>25</v>
      </c>
      <c r="P41" s="184"/>
      <c r="Q41" s="124" t="s">
        <v>89</v>
      </c>
      <c r="R41" s="125"/>
      <c r="S41" s="126"/>
    </row>
    <row r="42" spans="1:19" s="72" customFormat="1" ht="48" customHeight="1">
      <c r="A42" s="134"/>
      <c r="B42" s="141"/>
      <c r="C42" s="141"/>
      <c r="D42" s="165" t="s">
        <v>90</v>
      </c>
      <c r="E42" s="166"/>
      <c r="F42" s="166"/>
      <c r="G42" s="166"/>
      <c r="H42" s="166"/>
      <c r="I42" s="166"/>
      <c r="J42" s="166"/>
      <c r="K42" s="167"/>
      <c r="L42" s="104" t="s">
        <v>30</v>
      </c>
      <c r="M42" s="83">
        <v>5</v>
      </c>
      <c r="N42" s="47">
        <f t="shared" si="0"/>
        <v>5</v>
      </c>
      <c r="O42" s="47">
        <f t="shared" si="1"/>
        <v>25</v>
      </c>
      <c r="P42" s="184"/>
      <c r="Q42" s="124" t="s">
        <v>91</v>
      </c>
      <c r="R42" s="125"/>
      <c r="S42" s="126"/>
    </row>
    <row r="43" spans="1:19" s="72" customFormat="1" ht="41.45" customHeight="1">
      <c r="A43" s="134"/>
      <c r="B43" s="141"/>
      <c r="C43" s="141"/>
      <c r="D43" s="165" t="s">
        <v>92</v>
      </c>
      <c r="E43" s="166"/>
      <c r="F43" s="166"/>
      <c r="G43" s="166"/>
      <c r="H43" s="166"/>
      <c r="I43" s="166"/>
      <c r="J43" s="166"/>
      <c r="K43" s="167"/>
      <c r="L43" s="104" t="s">
        <v>30</v>
      </c>
      <c r="M43" s="83">
        <v>3</v>
      </c>
      <c r="N43" s="47">
        <f t="shared" si="0"/>
        <v>5</v>
      </c>
      <c r="O43" s="47">
        <f t="shared" si="1"/>
        <v>15</v>
      </c>
      <c r="P43" s="184"/>
      <c r="Q43" s="224" t="s">
        <v>93</v>
      </c>
      <c r="R43" s="225"/>
      <c r="S43" s="226"/>
    </row>
    <row r="44" spans="1:19" ht="14.45">
      <c r="A44" s="134"/>
      <c r="B44" s="141"/>
      <c r="C44" s="141"/>
      <c r="D44" s="227" t="s">
        <v>94</v>
      </c>
      <c r="E44" s="227"/>
      <c r="F44" s="227"/>
      <c r="G44" s="227"/>
      <c r="H44" s="227"/>
      <c r="I44" s="227"/>
      <c r="J44" s="227"/>
      <c r="K44" s="227"/>
      <c r="L44" s="2" t="s">
        <v>52</v>
      </c>
      <c r="M44" s="83">
        <v>2</v>
      </c>
      <c r="N44" s="47">
        <f t="shared" si="0"/>
        <v>4</v>
      </c>
      <c r="O44" s="47">
        <f t="shared" si="1"/>
        <v>8</v>
      </c>
      <c r="P44" s="184"/>
      <c r="Q44" s="376"/>
      <c r="R44" s="374"/>
      <c r="S44" s="375"/>
    </row>
    <row r="45" spans="1:19" ht="14.45">
      <c r="A45" s="134"/>
      <c r="B45" s="141"/>
      <c r="C45" s="141"/>
      <c r="D45" s="162" t="s">
        <v>95</v>
      </c>
      <c r="E45" s="163"/>
      <c r="F45" s="163"/>
      <c r="G45" s="163"/>
      <c r="H45" s="163"/>
      <c r="I45" s="163"/>
      <c r="J45" s="163"/>
      <c r="K45" s="164"/>
      <c r="L45" s="2" t="s">
        <v>52</v>
      </c>
      <c r="M45" s="83">
        <v>3</v>
      </c>
      <c r="N45" s="47">
        <f t="shared" si="0"/>
        <v>4</v>
      </c>
      <c r="O45" s="47">
        <f t="shared" si="1"/>
        <v>12</v>
      </c>
      <c r="P45" s="184"/>
      <c r="Q45" s="376"/>
      <c r="R45" s="374"/>
      <c r="S45" s="375"/>
    </row>
    <row r="46" spans="1:19" ht="14.45">
      <c r="A46" s="134"/>
      <c r="B46" s="141"/>
      <c r="C46" s="142"/>
      <c r="D46" s="136" t="s">
        <v>96</v>
      </c>
      <c r="E46" s="128"/>
      <c r="F46" s="128"/>
      <c r="G46" s="128"/>
      <c r="H46" s="128"/>
      <c r="I46" s="128"/>
      <c r="J46" s="128"/>
      <c r="K46" s="129"/>
      <c r="L46" s="2" t="s">
        <v>52</v>
      </c>
      <c r="M46" s="83">
        <v>3</v>
      </c>
      <c r="N46" s="47">
        <f t="shared" si="0"/>
        <v>4</v>
      </c>
      <c r="O46" s="47">
        <f t="shared" si="1"/>
        <v>12</v>
      </c>
      <c r="P46" s="185"/>
      <c r="Q46" s="376"/>
      <c r="R46" s="374"/>
      <c r="S46" s="375"/>
    </row>
    <row r="47" spans="1:19" ht="14.45">
      <c r="A47" s="134"/>
      <c r="B47" s="141"/>
      <c r="C47" s="20"/>
      <c r="D47" s="186"/>
      <c r="E47" s="122"/>
      <c r="F47" s="122"/>
      <c r="G47" s="122"/>
      <c r="H47" s="122"/>
      <c r="I47" s="122"/>
      <c r="J47" s="122"/>
      <c r="K47" s="123"/>
      <c r="L47" s="2"/>
      <c r="M47" s="47"/>
      <c r="N47" s="47" t="str">
        <f t="shared" si="0"/>
        <v/>
      </c>
      <c r="O47" s="47" t="str">
        <f t="shared" si="1"/>
        <v/>
      </c>
      <c r="P47" s="87"/>
      <c r="Q47" s="376"/>
      <c r="R47" s="374"/>
      <c r="S47" s="375"/>
    </row>
    <row r="48" spans="1:19" ht="14.45">
      <c r="A48" s="134"/>
      <c r="B48" s="141"/>
      <c r="C48" s="140" t="s">
        <v>97</v>
      </c>
      <c r="D48" s="177" t="s">
        <v>98</v>
      </c>
      <c r="E48" s="178"/>
      <c r="F48" s="178"/>
      <c r="G48" s="178"/>
      <c r="H48" s="178"/>
      <c r="I48" s="178"/>
      <c r="J48" s="178"/>
      <c r="K48" s="179"/>
      <c r="L48" s="2" t="s">
        <v>30</v>
      </c>
      <c r="M48" s="83">
        <v>5</v>
      </c>
      <c r="N48" s="47">
        <f t="shared" si="0"/>
        <v>5</v>
      </c>
      <c r="O48" s="47">
        <f t="shared" si="1"/>
        <v>25</v>
      </c>
      <c r="P48" s="246">
        <f>IFERROR(AVERAGE(O48:O54),"")</f>
        <v>19.285714285714285</v>
      </c>
      <c r="Q48" s="374" t="s">
        <v>99</v>
      </c>
      <c r="R48" s="374"/>
      <c r="S48" s="375"/>
    </row>
    <row r="49" spans="1:19" s="72" customFormat="1" ht="42.95" customHeight="1">
      <c r="A49" s="134"/>
      <c r="B49" s="141"/>
      <c r="C49" s="141"/>
      <c r="D49" s="214" t="s">
        <v>100</v>
      </c>
      <c r="E49" s="175"/>
      <c r="F49" s="175"/>
      <c r="G49" s="175"/>
      <c r="H49" s="175"/>
      <c r="I49" s="175"/>
      <c r="J49" s="175"/>
      <c r="K49" s="176"/>
      <c r="L49" s="104" t="s">
        <v>30</v>
      </c>
      <c r="M49" s="83">
        <v>5</v>
      </c>
      <c r="N49" s="47">
        <f t="shared" si="0"/>
        <v>5</v>
      </c>
      <c r="O49" s="47">
        <f t="shared" si="1"/>
        <v>25</v>
      </c>
      <c r="P49" s="246"/>
      <c r="Q49" s="125" t="s">
        <v>101</v>
      </c>
      <c r="R49" s="125"/>
      <c r="S49" s="126"/>
    </row>
    <row r="50" spans="1:19" ht="14.45">
      <c r="A50" s="134"/>
      <c r="B50" s="141"/>
      <c r="C50" s="141"/>
      <c r="D50" s="177" t="s">
        <v>102</v>
      </c>
      <c r="E50" s="178"/>
      <c r="F50" s="178"/>
      <c r="G50" s="178"/>
      <c r="H50" s="178"/>
      <c r="I50" s="178"/>
      <c r="J50" s="178"/>
      <c r="K50" s="179"/>
      <c r="L50" s="2" t="s">
        <v>30</v>
      </c>
      <c r="M50" s="83">
        <v>3</v>
      </c>
      <c r="N50" s="47">
        <f t="shared" si="0"/>
        <v>5</v>
      </c>
      <c r="O50" s="47">
        <f t="shared" si="1"/>
        <v>15</v>
      </c>
      <c r="P50" s="246"/>
      <c r="Q50" s="374" t="s">
        <v>103</v>
      </c>
      <c r="R50" s="374"/>
      <c r="S50" s="375"/>
    </row>
    <row r="51" spans="1:19" ht="14.45">
      <c r="A51" s="134"/>
      <c r="B51" s="141"/>
      <c r="C51" s="141"/>
      <c r="D51" s="177" t="s">
        <v>104</v>
      </c>
      <c r="E51" s="178"/>
      <c r="F51" s="178"/>
      <c r="G51" s="178"/>
      <c r="H51" s="178"/>
      <c r="I51" s="178"/>
      <c r="J51" s="178"/>
      <c r="K51" s="179"/>
      <c r="L51" s="2" t="s">
        <v>30</v>
      </c>
      <c r="M51" s="83">
        <v>2</v>
      </c>
      <c r="N51" s="47">
        <f t="shared" si="0"/>
        <v>5</v>
      </c>
      <c r="O51" s="47">
        <f t="shared" si="1"/>
        <v>10</v>
      </c>
      <c r="P51" s="246"/>
      <c r="Q51" s="374" t="s">
        <v>105</v>
      </c>
      <c r="R51" s="374"/>
      <c r="S51" s="375"/>
    </row>
    <row r="52" spans="1:19" ht="14.45">
      <c r="A52" s="134"/>
      <c r="B52" s="141"/>
      <c r="C52" s="141"/>
      <c r="D52" s="177" t="s">
        <v>106</v>
      </c>
      <c r="E52" s="178"/>
      <c r="F52" s="178"/>
      <c r="G52" s="178"/>
      <c r="H52" s="178"/>
      <c r="I52" s="178"/>
      <c r="J52" s="178"/>
      <c r="K52" s="179"/>
      <c r="L52" s="2" t="s">
        <v>30</v>
      </c>
      <c r="M52" s="83">
        <v>5</v>
      </c>
      <c r="N52" s="47">
        <f t="shared" si="0"/>
        <v>5</v>
      </c>
      <c r="O52" s="47">
        <f t="shared" si="1"/>
        <v>25</v>
      </c>
      <c r="P52" s="246"/>
      <c r="Q52" s="374" t="s">
        <v>107</v>
      </c>
      <c r="R52" s="374"/>
      <c r="S52" s="375"/>
    </row>
    <row r="53" spans="1:19" s="72" customFormat="1" ht="55.5" customHeight="1">
      <c r="A53" s="134"/>
      <c r="B53" s="141"/>
      <c r="C53" s="141"/>
      <c r="D53" s="108" t="s">
        <v>108</v>
      </c>
      <c r="E53" s="109"/>
      <c r="F53" s="109"/>
      <c r="G53" s="109"/>
      <c r="H53" s="109"/>
      <c r="I53" s="109"/>
      <c r="J53" s="109"/>
      <c r="K53" s="110"/>
      <c r="L53" s="104" t="s">
        <v>30</v>
      </c>
      <c r="M53" s="83">
        <v>4</v>
      </c>
      <c r="N53" s="47">
        <f t="shared" si="0"/>
        <v>5</v>
      </c>
      <c r="O53" s="47">
        <f t="shared" si="1"/>
        <v>20</v>
      </c>
      <c r="P53" s="246"/>
      <c r="Q53" s="224" t="s">
        <v>109</v>
      </c>
      <c r="R53" s="225"/>
      <c r="S53" s="226"/>
    </row>
    <row r="54" spans="1:19" ht="14.45">
      <c r="A54" s="135"/>
      <c r="B54" s="142"/>
      <c r="C54" s="142"/>
      <c r="D54" s="337" t="s">
        <v>110</v>
      </c>
      <c r="E54" s="338"/>
      <c r="F54" s="338"/>
      <c r="G54" s="338"/>
      <c r="H54" s="338"/>
      <c r="I54" s="338"/>
      <c r="J54" s="338"/>
      <c r="K54" s="338"/>
      <c r="L54" s="2" t="s">
        <v>30</v>
      </c>
      <c r="M54" s="83">
        <v>3</v>
      </c>
      <c r="N54" s="47">
        <f t="shared" si="0"/>
        <v>5</v>
      </c>
      <c r="O54" s="47">
        <f t="shared" si="1"/>
        <v>15</v>
      </c>
      <c r="P54" s="246"/>
      <c r="Q54" s="374"/>
      <c r="R54" s="374"/>
      <c r="S54" s="375"/>
    </row>
    <row r="55" spans="1:19" ht="14.45">
      <c r="A55" s="59"/>
      <c r="B55" s="13"/>
      <c r="C55" s="27"/>
      <c r="D55" s="227"/>
      <c r="E55" s="227"/>
      <c r="F55" s="227"/>
      <c r="G55" s="227"/>
      <c r="H55" s="227"/>
      <c r="I55" s="227"/>
      <c r="J55" s="227"/>
      <c r="K55" s="227"/>
      <c r="L55" s="2"/>
      <c r="M55" s="47"/>
      <c r="N55" s="47"/>
      <c r="O55" s="47"/>
      <c r="P55" s="88"/>
      <c r="Q55" s="376"/>
      <c r="R55" s="374"/>
      <c r="S55" s="375"/>
    </row>
    <row r="56" spans="1:19" ht="34.5" customHeight="1">
      <c r="A56" s="133">
        <v>2</v>
      </c>
      <c r="B56" s="140" t="s">
        <v>111</v>
      </c>
      <c r="C56" s="140" t="s">
        <v>112</v>
      </c>
      <c r="D56" s="336" t="s">
        <v>113</v>
      </c>
      <c r="E56" s="336"/>
      <c r="F56" s="336"/>
      <c r="G56" s="336"/>
      <c r="H56" s="336"/>
      <c r="I56" s="336"/>
      <c r="J56" s="336"/>
      <c r="K56" s="336"/>
      <c r="L56" s="104" t="s">
        <v>52</v>
      </c>
      <c r="M56" s="83">
        <v>5</v>
      </c>
      <c r="N56" s="47">
        <f t="shared" si="0"/>
        <v>4</v>
      </c>
      <c r="O56" s="47">
        <f t="shared" si="1"/>
        <v>20</v>
      </c>
      <c r="P56" s="183">
        <f>IFERROR(AVERAGE(O56:O58),"")</f>
        <v>21.666666666666668</v>
      </c>
      <c r="Q56" s="130" t="s">
        <v>114</v>
      </c>
      <c r="R56" s="131"/>
      <c r="S56" s="132"/>
    </row>
    <row r="57" spans="1:19" ht="45" customHeight="1">
      <c r="A57" s="134"/>
      <c r="B57" s="141"/>
      <c r="C57" s="141"/>
      <c r="D57" s="336" t="s">
        <v>115</v>
      </c>
      <c r="E57" s="336"/>
      <c r="F57" s="336"/>
      <c r="G57" s="336"/>
      <c r="H57" s="336"/>
      <c r="I57" s="336"/>
      <c r="J57" s="336"/>
      <c r="K57" s="336"/>
      <c r="L57" s="104" t="s">
        <v>30</v>
      </c>
      <c r="M57" s="83">
        <v>5</v>
      </c>
      <c r="N57" s="47">
        <f t="shared" si="0"/>
        <v>5</v>
      </c>
      <c r="O57" s="47">
        <f t="shared" si="1"/>
        <v>25</v>
      </c>
      <c r="P57" s="184"/>
      <c r="Q57" s="124" t="s">
        <v>116</v>
      </c>
      <c r="R57" s="125"/>
      <c r="S57" s="126"/>
    </row>
    <row r="58" spans="1:19" ht="31.5" customHeight="1">
      <c r="A58" s="135"/>
      <c r="B58" s="142"/>
      <c r="C58" s="142"/>
      <c r="D58" s="339" t="s">
        <v>117</v>
      </c>
      <c r="E58" s="339"/>
      <c r="F58" s="339"/>
      <c r="G58" s="339"/>
      <c r="H58" s="339"/>
      <c r="I58" s="339"/>
      <c r="J58" s="339"/>
      <c r="K58" s="339"/>
      <c r="L58" s="104" t="s">
        <v>30</v>
      </c>
      <c r="M58" s="83">
        <v>4</v>
      </c>
      <c r="N58" s="47">
        <f t="shared" si="0"/>
        <v>5</v>
      </c>
      <c r="O58" s="47">
        <f t="shared" si="1"/>
        <v>20</v>
      </c>
      <c r="P58" s="185"/>
      <c r="Q58" s="322" t="s">
        <v>118</v>
      </c>
      <c r="R58" s="315"/>
      <c r="S58" s="316"/>
    </row>
    <row r="59" spans="1:19" ht="14.45">
      <c r="A59" s="59"/>
      <c r="B59" s="4"/>
      <c r="C59" s="20"/>
      <c r="D59" s="227"/>
      <c r="E59" s="227"/>
      <c r="F59" s="227"/>
      <c r="G59" s="227"/>
      <c r="H59" s="227"/>
      <c r="I59" s="227"/>
      <c r="J59" s="227"/>
      <c r="K59" s="227"/>
      <c r="L59" s="2"/>
      <c r="M59" s="47"/>
      <c r="N59" s="47" t="str">
        <f t="shared" si="0"/>
        <v/>
      </c>
      <c r="O59" s="47" t="str">
        <f t="shared" si="1"/>
        <v/>
      </c>
      <c r="P59" s="54"/>
      <c r="Q59" s="376"/>
      <c r="R59" s="374"/>
      <c r="S59" s="375"/>
    </row>
    <row r="60" spans="1:19" s="72" customFormat="1" ht="45.6" customHeight="1">
      <c r="A60" s="133">
        <v>3</v>
      </c>
      <c r="B60" s="140" t="s">
        <v>119</v>
      </c>
      <c r="C60" s="133" t="s">
        <v>120</v>
      </c>
      <c r="D60" s="165" t="s">
        <v>121</v>
      </c>
      <c r="E60" s="166"/>
      <c r="F60" s="166"/>
      <c r="G60" s="166"/>
      <c r="H60" s="166"/>
      <c r="I60" s="166"/>
      <c r="J60" s="166"/>
      <c r="K60" s="167"/>
      <c r="L60" s="104" t="s">
        <v>52</v>
      </c>
      <c r="M60" s="83">
        <v>5</v>
      </c>
      <c r="N60" s="47">
        <f t="shared" si="0"/>
        <v>4</v>
      </c>
      <c r="O60" s="47">
        <f t="shared" si="1"/>
        <v>20</v>
      </c>
      <c r="P60" s="183">
        <f>IFERROR(AVERAGE(O60:O69),"")</f>
        <v>17.7</v>
      </c>
      <c r="Q60" s="237" t="s">
        <v>122</v>
      </c>
      <c r="R60" s="238"/>
      <c r="S60" s="239"/>
    </row>
    <row r="61" spans="1:19" ht="14.45" customHeight="1">
      <c r="A61" s="134"/>
      <c r="B61" s="141"/>
      <c r="C61" s="134"/>
      <c r="D61" s="136" t="s">
        <v>123</v>
      </c>
      <c r="E61" s="128"/>
      <c r="F61" s="128"/>
      <c r="G61" s="128"/>
      <c r="H61" s="128"/>
      <c r="I61" s="128"/>
      <c r="J61" s="128"/>
      <c r="K61" s="129"/>
      <c r="L61" s="2" t="s">
        <v>52</v>
      </c>
      <c r="M61" s="83">
        <v>5</v>
      </c>
      <c r="N61" s="47">
        <f t="shared" si="0"/>
        <v>4</v>
      </c>
      <c r="O61" s="47">
        <f t="shared" si="1"/>
        <v>20</v>
      </c>
      <c r="P61" s="184"/>
      <c r="Q61" s="243"/>
      <c r="R61" s="244"/>
      <c r="S61" s="245"/>
    </row>
    <row r="62" spans="1:19" ht="14.45">
      <c r="A62" s="134"/>
      <c r="B62" s="141"/>
      <c r="C62" s="134"/>
      <c r="D62" s="177" t="s">
        <v>124</v>
      </c>
      <c r="E62" s="178"/>
      <c r="F62" s="178"/>
      <c r="G62" s="178"/>
      <c r="H62" s="178"/>
      <c r="I62" s="178"/>
      <c r="J62" s="178"/>
      <c r="K62" s="179"/>
      <c r="L62" s="2" t="s">
        <v>52</v>
      </c>
      <c r="M62" s="83">
        <v>4</v>
      </c>
      <c r="N62" s="47">
        <f t="shared" si="0"/>
        <v>4</v>
      </c>
      <c r="O62" s="47">
        <f t="shared" si="1"/>
        <v>16</v>
      </c>
      <c r="P62" s="184"/>
      <c r="Q62" s="127" t="s">
        <v>41</v>
      </c>
      <c r="R62" s="128"/>
      <c r="S62" s="129"/>
    </row>
    <row r="63" spans="1:19" ht="14.45">
      <c r="A63" s="134"/>
      <c r="B63" s="141"/>
      <c r="C63" s="134"/>
      <c r="D63" s="177" t="s">
        <v>125</v>
      </c>
      <c r="E63" s="178"/>
      <c r="F63" s="178"/>
      <c r="G63" s="178"/>
      <c r="H63" s="178"/>
      <c r="I63" s="178"/>
      <c r="J63" s="178"/>
      <c r="K63" s="179"/>
      <c r="L63" s="2" t="s">
        <v>30</v>
      </c>
      <c r="M63" s="83">
        <v>5</v>
      </c>
      <c r="N63" s="47">
        <f t="shared" si="0"/>
        <v>5</v>
      </c>
      <c r="O63" s="47">
        <f t="shared" si="1"/>
        <v>25</v>
      </c>
      <c r="P63" s="184"/>
      <c r="Q63" s="376" t="s">
        <v>126</v>
      </c>
      <c r="R63" s="374"/>
      <c r="S63" s="375"/>
    </row>
    <row r="64" spans="1:19" s="72" customFormat="1" ht="42.6" customHeight="1">
      <c r="A64" s="134"/>
      <c r="B64" s="141"/>
      <c r="C64" s="134"/>
      <c r="D64" s="214" t="s">
        <v>127</v>
      </c>
      <c r="E64" s="175"/>
      <c r="F64" s="175"/>
      <c r="G64" s="175"/>
      <c r="H64" s="175"/>
      <c r="I64" s="175"/>
      <c r="J64" s="175"/>
      <c r="K64" s="176"/>
      <c r="L64" s="104" t="s">
        <v>52</v>
      </c>
      <c r="M64" s="83">
        <v>4</v>
      </c>
      <c r="N64" s="47">
        <f t="shared" si="0"/>
        <v>4</v>
      </c>
      <c r="O64" s="47">
        <f t="shared" si="1"/>
        <v>16</v>
      </c>
      <c r="P64" s="184"/>
      <c r="Q64" s="124" t="s">
        <v>128</v>
      </c>
      <c r="R64" s="125"/>
      <c r="S64" s="126"/>
    </row>
    <row r="65" spans="1:19" ht="14.45">
      <c r="A65" s="134"/>
      <c r="B65" s="141"/>
      <c r="C65" s="134"/>
      <c r="D65" s="41" t="s">
        <v>129</v>
      </c>
      <c r="E65" s="42"/>
      <c r="F65" s="42"/>
      <c r="G65" s="42"/>
      <c r="H65" s="42"/>
      <c r="I65" s="42"/>
      <c r="J65" s="42"/>
      <c r="K65" s="43"/>
      <c r="L65" s="2" t="s">
        <v>30</v>
      </c>
      <c r="M65" s="83">
        <v>3</v>
      </c>
      <c r="N65" s="47">
        <f t="shared" si="0"/>
        <v>5</v>
      </c>
      <c r="O65" s="47">
        <f t="shared" si="1"/>
        <v>15</v>
      </c>
      <c r="P65" s="184"/>
      <c r="Q65" s="127" t="s">
        <v>130</v>
      </c>
      <c r="R65" s="128"/>
      <c r="S65" s="129"/>
    </row>
    <row r="66" spans="1:19" s="72" customFormat="1" ht="33" customHeight="1">
      <c r="A66" s="134"/>
      <c r="B66" s="141"/>
      <c r="C66" s="134"/>
      <c r="D66" s="340" t="s">
        <v>131</v>
      </c>
      <c r="E66" s="311"/>
      <c r="F66" s="311"/>
      <c r="G66" s="311"/>
      <c r="H66" s="311"/>
      <c r="I66" s="311"/>
      <c r="J66" s="311"/>
      <c r="K66" s="312"/>
      <c r="L66" s="104" t="s">
        <v>30</v>
      </c>
      <c r="M66" s="83">
        <v>5</v>
      </c>
      <c r="N66" s="47">
        <f t="shared" si="0"/>
        <v>5</v>
      </c>
      <c r="O66" s="47">
        <f t="shared" si="1"/>
        <v>25</v>
      </c>
      <c r="P66" s="184"/>
      <c r="Q66" s="124" t="s">
        <v>132</v>
      </c>
      <c r="R66" s="125"/>
      <c r="S66" s="126"/>
    </row>
    <row r="67" spans="1:19" ht="14.45">
      <c r="A67" s="134"/>
      <c r="B67" s="141"/>
      <c r="C67" s="134"/>
      <c r="D67" s="177" t="s">
        <v>133</v>
      </c>
      <c r="E67" s="178"/>
      <c r="F67" s="178"/>
      <c r="G67" s="178"/>
      <c r="H67" s="178"/>
      <c r="I67" s="178"/>
      <c r="J67" s="178"/>
      <c r="K67" s="179"/>
      <c r="L67" s="2" t="s">
        <v>30</v>
      </c>
      <c r="M67" s="83">
        <v>5</v>
      </c>
      <c r="N67" s="47">
        <f t="shared" si="0"/>
        <v>5</v>
      </c>
      <c r="O67" s="47">
        <f t="shared" si="1"/>
        <v>25</v>
      </c>
      <c r="P67" s="184"/>
      <c r="Q67" s="127" t="s">
        <v>134</v>
      </c>
      <c r="R67" s="128"/>
      <c r="S67" s="129"/>
    </row>
    <row r="68" spans="1:19" ht="14.45">
      <c r="A68" s="134"/>
      <c r="B68" s="141"/>
      <c r="C68" s="134"/>
      <c r="D68" s="177" t="s">
        <v>135</v>
      </c>
      <c r="E68" s="178"/>
      <c r="F68" s="178"/>
      <c r="G68" s="178"/>
      <c r="H68" s="178"/>
      <c r="I68" s="178"/>
      <c r="J68" s="178"/>
      <c r="K68" s="179"/>
      <c r="L68" s="2" t="s">
        <v>41</v>
      </c>
      <c r="M68" s="83">
        <v>5</v>
      </c>
      <c r="N68" s="47">
        <f t="shared" ref="N68:N130" si="2">IF(L68="NA","",
IF(L68="Yes",5,
IF(L68="Partial",4,
IF(L68="In Progress",3,
IF(L68="Not clarified",2,
IF(L68="No",0,""))))))</f>
        <v>0</v>
      </c>
      <c r="O68" s="47">
        <f t="shared" ref="O68:O130" si="3">IF(N68="","",N68*M68)</f>
        <v>0</v>
      </c>
      <c r="P68" s="184"/>
      <c r="Q68" s="127" t="s">
        <v>136</v>
      </c>
      <c r="R68" s="128"/>
      <c r="S68" s="129"/>
    </row>
    <row r="69" spans="1:19" ht="14.45">
      <c r="A69" s="135"/>
      <c r="B69" s="142"/>
      <c r="C69" s="135"/>
      <c r="D69" s="136" t="s">
        <v>137</v>
      </c>
      <c r="E69" s="128"/>
      <c r="F69" s="128"/>
      <c r="G69" s="128"/>
      <c r="H69" s="128"/>
      <c r="I69" s="128"/>
      <c r="J69" s="128"/>
      <c r="K69" s="129"/>
      <c r="L69" s="2" t="s">
        <v>30</v>
      </c>
      <c r="M69" s="83">
        <v>3</v>
      </c>
      <c r="N69" s="47">
        <f t="shared" si="2"/>
        <v>5</v>
      </c>
      <c r="O69" s="47">
        <f t="shared" si="3"/>
        <v>15</v>
      </c>
      <c r="P69" s="185"/>
      <c r="Q69" s="127" t="s">
        <v>138</v>
      </c>
      <c r="R69" s="128"/>
      <c r="S69" s="129"/>
    </row>
    <row r="70" spans="1:19" ht="14.45">
      <c r="A70" s="59"/>
      <c r="B70" s="4"/>
      <c r="C70" s="4"/>
      <c r="D70" s="159"/>
      <c r="E70" s="160"/>
      <c r="F70" s="160"/>
      <c r="G70" s="160"/>
      <c r="H70" s="160"/>
      <c r="I70" s="160"/>
      <c r="J70" s="160"/>
      <c r="K70" s="161"/>
      <c r="L70" s="2"/>
      <c r="M70" s="47"/>
      <c r="N70" s="47" t="str">
        <f t="shared" si="2"/>
        <v/>
      </c>
      <c r="O70" s="47" t="str">
        <f t="shared" si="3"/>
        <v/>
      </c>
      <c r="P70" s="54"/>
      <c r="Q70" s="127"/>
      <c r="R70" s="128"/>
      <c r="S70" s="129"/>
    </row>
    <row r="71" spans="1:19" ht="14.45">
      <c r="A71" s="133">
        <v>4</v>
      </c>
      <c r="B71" s="140" t="s">
        <v>139</v>
      </c>
      <c r="C71" s="140" t="s">
        <v>140</v>
      </c>
      <c r="D71" s="136" t="s">
        <v>141</v>
      </c>
      <c r="E71" s="128"/>
      <c r="F71" s="128"/>
      <c r="G71" s="128"/>
      <c r="H71" s="128"/>
      <c r="I71" s="128"/>
      <c r="J71" s="128"/>
      <c r="K71" s="129"/>
      <c r="L71" s="2" t="s">
        <v>142</v>
      </c>
      <c r="M71" s="83">
        <v>5</v>
      </c>
      <c r="N71" s="47">
        <f t="shared" si="2"/>
        <v>2</v>
      </c>
      <c r="O71" s="47">
        <f t="shared" si="3"/>
        <v>10</v>
      </c>
      <c r="P71" s="183">
        <f>IFERROR(AVERAGE(O71:O83),"")</f>
        <v>8.7692307692307701</v>
      </c>
      <c r="Q71" s="202" t="s">
        <v>143</v>
      </c>
      <c r="R71" s="203"/>
      <c r="S71" s="204"/>
    </row>
    <row r="72" spans="1:19" ht="14.45">
      <c r="A72" s="134"/>
      <c r="B72" s="141"/>
      <c r="C72" s="141"/>
      <c r="D72" s="136" t="s">
        <v>144</v>
      </c>
      <c r="E72" s="128"/>
      <c r="F72" s="128"/>
      <c r="G72" s="128"/>
      <c r="H72" s="128"/>
      <c r="I72" s="128"/>
      <c r="J72" s="128"/>
      <c r="K72" s="129"/>
      <c r="L72" s="2" t="s">
        <v>142</v>
      </c>
      <c r="M72" s="83">
        <v>5</v>
      </c>
      <c r="N72" s="47">
        <f t="shared" si="2"/>
        <v>2</v>
      </c>
      <c r="O72" s="47">
        <f t="shared" si="3"/>
        <v>10</v>
      </c>
      <c r="P72" s="184"/>
      <c r="Q72" s="205"/>
      <c r="R72" s="206"/>
      <c r="S72" s="207"/>
    </row>
    <row r="73" spans="1:19" ht="14.45">
      <c r="A73" s="134"/>
      <c r="B73" s="141"/>
      <c r="C73" s="141"/>
      <c r="D73" s="342" t="s">
        <v>145</v>
      </c>
      <c r="E73" s="343"/>
      <c r="F73" s="343"/>
      <c r="G73" s="343"/>
      <c r="H73" s="343"/>
      <c r="I73" s="343"/>
      <c r="J73" s="343"/>
      <c r="K73" s="344"/>
      <c r="L73" s="2" t="s">
        <v>142</v>
      </c>
      <c r="M73" s="83">
        <v>5</v>
      </c>
      <c r="N73" s="47">
        <f t="shared" si="2"/>
        <v>2</v>
      </c>
      <c r="O73" s="47">
        <f t="shared" si="3"/>
        <v>10</v>
      </c>
      <c r="P73" s="184"/>
      <c r="Q73" s="205"/>
      <c r="R73" s="206"/>
      <c r="S73" s="207"/>
    </row>
    <row r="74" spans="1:19" ht="14.45">
      <c r="A74" s="134"/>
      <c r="B74" s="141"/>
      <c r="C74" s="141"/>
      <c r="D74" s="177" t="s">
        <v>146</v>
      </c>
      <c r="E74" s="178"/>
      <c r="F74" s="178"/>
      <c r="G74" s="178"/>
      <c r="H74" s="178"/>
      <c r="I74" s="178"/>
      <c r="J74" s="178"/>
      <c r="K74" s="179"/>
      <c r="L74" s="2" t="s">
        <v>142</v>
      </c>
      <c r="M74" s="83">
        <v>5</v>
      </c>
      <c r="N74" s="47">
        <f t="shared" si="2"/>
        <v>2</v>
      </c>
      <c r="O74" s="47">
        <f t="shared" si="3"/>
        <v>10</v>
      </c>
      <c r="P74" s="184"/>
      <c r="Q74" s="205"/>
      <c r="R74" s="206"/>
      <c r="S74" s="207"/>
    </row>
    <row r="75" spans="1:19" ht="14.45">
      <c r="A75" s="134"/>
      <c r="B75" s="141"/>
      <c r="C75" s="141"/>
      <c r="D75" s="136" t="s">
        <v>147</v>
      </c>
      <c r="E75" s="128"/>
      <c r="F75" s="128"/>
      <c r="G75" s="128"/>
      <c r="H75" s="128"/>
      <c r="I75" s="128"/>
      <c r="J75" s="128"/>
      <c r="K75" s="129"/>
      <c r="L75" s="2" t="s">
        <v>142</v>
      </c>
      <c r="M75" s="83">
        <v>5</v>
      </c>
      <c r="N75" s="47">
        <f t="shared" si="2"/>
        <v>2</v>
      </c>
      <c r="O75" s="47">
        <f t="shared" si="3"/>
        <v>10</v>
      </c>
      <c r="P75" s="184"/>
      <c r="Q75" s="205"/>
      <c r="R75" s="206"/>
      <c r="S75" s="207"/>
    </row>
    <row r="76" spans="1:19" ht="14.45">
      <c r="A76" s="134"/>
      <c r="B76" s="141"/>
      <c r="C76" s="141"/>
      <c r="D76" s="136" t="s">
        <v>148</v>
      </c>
      <c r="E76" s="128"/>
      <c r="F76" s="128"/>
      <c r="G76" s="128"/>
      <c r="H76" s="128"/>
      <c r="I76" s="128"/>
      <c r="J76" s="128"/>
      <c r="K76" s="129"/>
      <c r="L76" s="2" t="s">
        <v>142</v>
      </c>
      <c r="M76" s="83">
        <v>5</v>
      </c>
      <c r="N76" s="47">
        <f t="shared" si="2"/>
        <v>2</v>
      </c>
      <c r="O76" s="47">
        <f t="shared" si="3"/>
        <v>10</v>
      </c>
      <c r="P76" s="184"/>
      <c r="Q76" s="205"/>
      <c r="R76" s="206"/>
      <c r="S76" s="207"/>
    </row>
    <row r="77" spans="1:19" ht="14.45">
      <c r="A77" s="134"/>
      <c r="B77" s="141"/>
      <c r="C77" s="141"/>
      <c r="D77" s="136" t="s">
        <v>149</v>
      </c>
      <c r="E77" s="128"/>
      <c r="F77" s="128"/>
      <c r="G77" s="128"/>
      <c r="H77" s="128"/>
      <c r="I77" s="128"/>
      <c r="J77" s="128"/>
      <c r="K77" s="129"/>
      <c r="L77" s="2" t="s">
        <v>142</v>
      </c>
      <c r="M77" s="83">
        <v>5</v>
      </c>
      <c r="N77" s="47">
        <f t="shared" si="2"/>
        <v>2</v>
      </c>
      <c r="O77" s="47">
        <f t="shared" si="3"/>
        <v>10</v>
      </c>
      <c r="P77" s="184"/>
      <c r="Q77" s="205"/>
      <c r="R77" s="206"/>
      <c r="S77" s="207"/>
    </row>
    <row r="78" spans="1:19" ht="14.45">
      <c r="A78" s="134"/>
      <c r="B78" s="141"/>
      <c r="C78" s="141"/>
      <c r="D78" s="136" t="s">
        <v>150</v>
      </c>
      <c r="E78" s="128"/>
      <c r="F78" s="128"/>
      <c r="G78" s="128"/>
      <c r="H78" s="128"/>
      <c r="I78" s="128"/>
      <c r="J78" s="128"/>
      <c r="K78" s="129"/>
      <c r="L78" s="2" t="s">
        <v>142</v>
      </c>
      <c r="M78" s="83">
        <v>4</v>
      </c>
      <c r="N78" s="47">
        <f t="shared" si="2"/>
        <v>2</v>
      </c>
      <c r="O78" s="47">
        <f t="shared" si="3"/>
        <v>8</v>
      </c>
      <c r="P78" s="184"/>
      <c r="Q78" s="205"/>
      <c r="R78" s="206"/>
      <c r="S78" s="207"/>
    </row>
    <row r="79" spans="1:19" ht="14.45">
      <c r="A79" s="134"/>
      <c r="B79" s="141"/>
      <c r="C79" s="141"/>
      <c r="D79" s="177" t="s">
        <v>151</v>
      </c>
      <c r="E79" s="178"/>
      <c r="F79" s="178"/>
      <c r="G79" s="178"/>
      <c r="H79" s="178"/>
      <c r="I79" s="178"/>
      <c r="J79" s="178"/>
      <c r="K79" s="179"/>
      <c r="L79" s="2" t="s">
        <v>142</v>
      </c>
      <c r="M79" s="83">
        <v>4</v>
      </c>
      <c r="N79" s="47">
        <f t="shared" si="2"/>
        <v>2</v>
      </c>
      <c r="O79" s="47">
        <f t="shared" si="3"/>
        <v>8</v>
      </c>
      <c r="P79" s="184"/>
      <c r="Q79" s="205"/>
      <c r="R79" s="206"/>
      <c r="S79" s="207"/>
    </row>
    <row r="80" spans="1:19" ht="14.45">
      <c r="A80" s="134"/>
      <c r="B80" s="141"/>
      <c r="C80" s="141"/>
      <c r="D80" s="136" t="s">
        <v>152</v>
      </c>
      <c r="E80" s="128"/>
      <c r="F80" s="128"/>
      <c r="G80" s="128"/>
      <c r="H80" s="128"/>
      <c r="I80" s="128"/>
      <c r="J80" s="128"/>
      <c r="K80" s="129"/>
      <c r="L80" s="2" t="s">
        <v>142</v>
      </c>
      <c r="M80" s="83">
        <v>5</v>
      </c>
      <c r="N80" s="47">
        <f t="shared" si="2"/>
        <v>2</v>
      </c>
      <c r="O80" s="47">
        <f t="shared" si="3"/>
        <v>10</v>
      </c>
      <c r="P80" s="184"/>
      <c r="Q80" s="205"/>
      <c r="R80" s="206"/>
      <c r="S80" s="207"/>
    </row>
    <row r="81" spans="1:19" ht="14.45">
      <c r="A81" s="134"/>
      <c r="B81" s="141"/>
      <c r="C81" s="141"/>
      <c r="D81" s="136" t="s">
        <v>153</v>
      </c>
      <c r="E81" s="128"/>
      <c r="F81" s="128"/>
      <c r="G81" s="128"/>
      <c r="H81" s="128"/>
      <c r="I81" s="128"/>
      <c r="J81" s="128"/>
      <c r="K81" s="129"/>
      <c r="L81" s="2" t="s">
        <v>142</v>
      </c>
      <c r="M81" s="83">
        <v>4</v>
      </c>
      <c r="N81" s="47">
        <f t="shared" si="2"/>
        <v>2</v>
      </c>
      <c r="O81" s="47">
        <f t="shared" si="3"/>
        <v>8</v>
      </c>
      <c r="P81" s="184"/>
      <c r="Q81" s="205"/>
      <c r="R81" s="206"/>
      <c r="S81" s="207"/>
    </row>
    <row r="82" spans="1:19" ht="14.45">
      <c r="A82" s="134"/>
      <c r="B82" s="141"/>
      <c r="C82" s="141"/>
      <c r="D82" s="265" t="s">
        <v>154</v>
      </c>
      <c r="E82" s="266"/>
      <c r="F82" s="266"/>
      <c r="G82" s="266"/>
      <c r="H82" s="266"/>
      <c r="I82" s="266"/>
      <c r="J82" s="266"/>
      <c r="K82" s="267"/>
      <c r="L82" s="2" t="s">
        <v>142</v>
      </c>
      <c r="M82" s="83">
        <v>2</v>
      </c>
      <c r="N82" s="47">
        <f t="shared" si="2"/>
        <v>2</v>
      </c>
      <c r="O82" s="47">
        <f t="shared" si="3"/>
        <v>4</v>
      </c>
      <c r="P82" s="184"/>
      <c r="Q82" s="205"/>
      <c r="R82" s="206"/>
      <c r="S82" s="207"/>
    </row>
    <row r="83" spans="1:19" ht="14.45">
      <c r="A83" s="135"/>
      <c r="B83" s="142"/>
      <c r="C83" s="142"/>
      <c r="D83" s="265" t="s">
        <v>155</v>
      </c>
      <c r="E83" s="266"/>
      <c r="F83" s="266"/>
      <c r="G83" s="266"/>
      <c r="H83" s="266"/>
      <c r="I83" s="266"/>
      <c r="J83" s="266"/>
      <c r="K83" s="267"/>
      <c r="L83" s="2" t="s">
        <v>142</v>
      </c>
      <c r="M83" s="83">
        <v>3</v>
      </c>
      <c r="N83" s="47">
        <f t="shared" si="2"/>
        <v>2</v>
      </c>
      <c r="O83" s="47">
        <f t="shared" si="3"/>
        <v>6</v>
      </c>
      <c r="P83" s="185"/>
      <c r="Q83" s="208"/>
      <c r="R83" s="209"/>
      <c r="S83" s="210"/>
    </row>
    <row r="84" spans="1:19" ht="14.45">
      <c r="A84" s="59">
        <v>88</v>
      </c>
      <c r="B84" s="4"/>
      <c r="C84" s="4"/>
      <c r="D84" s="136"/>
      <c r="E84" s="128"/>
      <c r="F84" s="128"/>
      <c r="G84" s="128"/>
      <c r="H84" s="128"/>
      <c r="I84" s="128"/>
      <c r="J84" s="128"/>
      <c r="K84" s="129"/>
      <c r="L84" s="2"/>
      <c r="M84" s="47"/>
      <c r="N84" s="47" t="str">
        <f t="shared" si="2"/>
        <v/>
      </c>
      <c r="O84" s="47" t="str">
        <f t="shared" si="3"/>
        <v/>
      </c>
      <c r="P84" s="54"/>
      <c r="Q84" s="376"/>
      <c r="R84" s="374"/>
      <c r="S84" s="375"/>
    </row>
    <row r="85" spans="1:19" ht="14.45">
      <c r="A85" s="133">
        <v>5</v>
      </c>
      <c r="B85" s="140" t="s">
        <v>156</v>
      </c>
      <c r="C85" s="140" t="s">
        <v>156</v>
      </c>
      <c r="D85" s="136" t="s">
        <v>157</v>
      </c>
      <c r="E85" s="128"/>
      <c r="F85" s="128"/>
      <c r="G85" s="128"/>
      <c r="H85" s="128"/>
      <c r="I85" s="128"/>
      <c r="J85" s="128"/>
      <c r="K85" s="129"/>
      <c r="L85" s="2" t="s">
        <v>30</v>
      </c>
      <c r="M85" s="83">
        <v>5</v>
      </c>
      <c r="N85" s="47">
        <f t="shared" si="2"/>
        <v>5</v>
      </c>
      <c r="O85" s="47">
        <f t="shared" si="3"/>
        <v>25</v>
      </c>
      <c r="P85" s="183">
        <f>IFERROR(AVERAGE(O85:O93),"")</f>
        <v>21.875</v>
      </c>
      <c r="Q85" s="376"/>
      <c r="R85" s="374"/>
      <c r="S85" s="375"/>
    </row>
    <row r="86" spans="1:19" ht="14.45">
      <c r="A86" s="134"/>
      <c r="B86" s="141"/>
      <c r="C86" s="141"/>
      <c r="D86" s="136" t="s">
        <v>158</v>
      </c>
      <c r="E86" s="128"/>
      <c r="F86" s="128"/>
      <c r="G86" s="128"/>
      <c r="H86" s="128"/>
      <c r="I86" s="128"/>
      <c r="J86" s="128"/>
      <c r="K86" s="129"/>
      <c r="L86" s="2" t="s">
        <v>30</v>
      </c>
      <c r="M86" s="83">
        <v>5</v>
      </c>
      <c r="N86" s="47">
        <f t="shared" si="2"/>
        <v>5</v>
      </c>
      <c r="O86" s="47">
        <f t="shared" si="3"/>
        <v>25</v>
      </c>
      <c r="P86" s="184"/>
      <c r="Q86" s="376"/>
      <c r="R86" s="374"/>
      <c r="S86" s="375"/>
    </row>
    <row r="87" spans="1:19" s="72" customFormat="1" ht="47.1" customHeight="1">
      <c r="A87" s="134"/>
      <c r="B87" s="141"/>
      <c r="C87" s="141"/>
      <c r="D87" s="165" t="s">
        <v>159</v>
      </c>
      <c r="E87" s="166"/>
      <c r="F87" s="166"/>
      <c r="G87" s="166"/>
      <c r="H87" s="166"/>
      <c r="I87" s="166"/>
      <c r="J87" s="166"/>
      <c r="K87" s="167"/>
      <c r="L87" s="104" t="s">
        <v>69</v>
      </c>
      <c r="M87" s="83">
        <v>3</v>
      </c>
      <c r="N87" s="47" t="str">
        <f t="shared" si="2"/>
        <v/>
      </c>
      <c r="O87" s="47" t="str">
        <f t="shared" si="3"/>
        <v/>
      </c>
      <c r="P87" s="184"/>
      <c r="Q87" s="224" t="s">
        <v>160</v>
      </c>
      <c r="R87" s="225"/>
      <c r="S87" s="226"/>
    </row>
    <row r="88" spans="1:19" ht="30.95" customHeight="1">
      <c r="A88" s="134"/>
      <c r="B88" s="141"/>
      <c r="C88" s="141"/>
      <c r="D88" s="268" t="s">
        <v>161</v>
      </c>
      <c r="E88" s="268"/>
      <c r="F88" s="268"/>
      <c r="G88" s="268"/>
      <c r="H88" s="268"/>
      <c r="I88" s="268"/>
      <c r="J88" s="268"/>
      <c r="K88" s="268"/>
      <c r="L88" s="2" t="s">
        <v>30</v>
      </c>
      <c r="M88" s="83">
        <v>3</v>
      </c>
      <c r="N88" s="47">
        <f t="shared" si="2"/>
        <v>5</v>
      </c>
      <c r="O88" s="47">
        <f t="shared" si="3"/>
        <v>15</v>
      </c>
      <c r="P88" s="184"/>
      <c r="Q88" s="262" t="s">
        <v>162</v>
      </c>
      <c r="R88" s="263"/>
      <c r="S88" s="264"/>
    </row>
    <row r="89" spans="1:19" ht="14.45">
      <c r="A89" s="134"/>
      <c r="B89" s="141"/>
      <c r="C89" s="141"/>
      <c r="D89" s="345" t="s">
        <v>163</v>
      </c>
      <c r="E89" s="346"/>
      <c r="F89" s="346"/>
      <c r="G89" s="346"/>
      <c r="H89" s="346"/>
      <c r="I89" s="346"/>
      <c r="J89" s="346"/>
      <c r="K89" s="347"/>
      <c r="L89" s="2" t="s">
        <v>30</v>
      </c>
      <c r="M89" s="83">
        <v>5</v>
      </c>
      <c r="N89" s="47">
        <f t="shared" si="2"/>
        <v>5</v>
      </c>
      <c r="O89" s="47">
        <f t="shared" si="3"/>
        <v>25</v>
      </c>
      <c r="P89" s="184"/>
      <c r="Q89" s="121"/>
      <c r="R89" s="122"/>
      <c r="S89" s="123"/>
    </row>
    <row r="90" spans="1:19" ht="14.45">
      <c r="A90" s="134"/>
      <c r="B90" s="141"/>
      <c r="C90" s="141"/>
      <c r="D90" s="345" t="s">
        <v>164</v>
      </c>
      <c r="E90" s="346"/>
      <c r="F90" s="346"/>
      <c r="G90" s="346"/>
      <c r="H90" s="346"/>
      <c r="I90" s="346"/>
      <c r="J90" s="346"/>
      <c r="K90" s="347"/>
      <c r="L90" s="2" t="s">
        <v>52</v>
      </c>
      <c r="M90" s="83">
        <v>5</v>
      </c>
      <c r="N90" s="47">
        <f t="shared" si="2"/>
        <v>4</v>
      </c>
      <c r="O90" s="47">
        <f t="shared" si="3"/>
        <v>20</v>
      </c>
      <c r="P90" s="184"/>
      <c r="Q90" s="121"/>
      <c r="R90" s="122"/>
      <c r="S90" s="123"/>
    </row>
    <row r="91" spans="1:19" ht="14.45">
      <c r="A91" s="134"/>
      <c r="B91" s="141"/>
      <c r="C91" s="141"/>
      <c r="D91" s="345" t="s">
        <v>165</v>
      </c>
      <c r="E91" s="346"/>
      <c r="F91" s="346"/>
      <c r="G91" s="346"/>
      <c r="H91" s="346"/>
      <c r="I91" s="346"/>
      <c r="J91" s="346"/>
      <c r="K91" s="347"/>
      <c r="L91" s="2" t="s">
        <v>30</v>
      </c>
      <c r="M91" s="83">
        <v>3</v>
      </c>
      <c r="N91" s="47">
        <f t="shared" si="2"/>
        <v>5</v>
      </c>
      <c r="O91" s="47">
        <f t="shared" si="3"/>
        <v>15</v>
      </c>
      <c r="P91" s="184"/>
      <c r="Q91" s="121"/>
      <c r="R91" s="122"/>
      <c r="S91" s="123"/>
    </row>
    <row r="92" spans="1:19" ht="14.45">
      <c r="A92" s="134"/>
      <c r="B92" s="141"/>
      <c r="C92" s="141"/>
      <c r="D92" s="345" t="s">
        <v>166</v>
      </c>
      <c r="E92" s="346"/>
      <c r="F92" s="346"/>
      <c r="G92" s="346"/>
      <c r="H92" s="346"/>
      <c r="I92" s="346"/>
      <c r="J92" s="346"/>
      <c r="K92" s="347"/>
      <c r="L92" s="2" t="s">
        <v>30</v>
      </c>
      <c r="M92" s="83">
        <v>5</v>
      </c>
      <c r="N92" s="47">
        <f t="shared" si="2"/>
        <v>5</v>
      </c>
      <c r="O92" s="47">
        <f t="shared" si="3"/>
        <v>25</v>
      </c>
      <c r="P92" s="184"/>
      <c r="Q92" s="376"/>
      <c r="R92" s="374"/>
      <c r="S92" s="375"/>
    </row>
    <row r="93" spans="1:19" ht="14.45">
      <c r="A93" s="135"/>
      <c r="B93" s="142"/>
      <c r="C93" s="142"/>
      <c r="D93" s="345" t="s">
        <v>167</v>
      </c>
      <c r="E93" s="346"/>
      <c r="F93" s="346"/>
      <c r="G93" s="346"/>
      <c r="H93" s="346"/>
      <c r="I93" s="346"/>
      <c r="J93" s="346"/>
      <c r="K93" s="347"/>
      <c r="L93" s="2" t="s">
        <v>30</v>
      </c>
      <c r="M93" s="83">
        <v>5</v>
      </c>
      <c r="N93" s="47">
        <f t="shared" si="2"/>
        <v>5</v>
      </c>
      <c r="O93" s="47">
        <f t="shared" si="3"/>
        <v>25</v>
      </c>
      <c r="P93" s="185"/>
      <c r="Q93" s="121"/>
      <c r="R93" s="122"/>
      <c r="S93" s="123"/>
    </row>
    <row r="94" spans="1:19" ht="14.45">
      <c r="A94" s="59"/>
      <c r="B94" s="4"/>
      <c r="C94" s="4"/>
      <c r="D94" s="136"/>
      <c r="E94" s="128"/>
      <c r="F94" s="128"/>
      <c r="G94" s="128"/>
      <c r="H94" s="128"/>
      <c r="I94" s="128"/>
      <c r="J94" s="128"/>
      <c r="K94" s="129"/>
      <c r="L94" s="2"/>
      <c r="M94" s="47"/>
      <c r="N94" s="47" t="str">
        <f t="shared" si="2"/>
        <v/>
      </c>
      <c r="O94" s="47" t="str">
        <f t="shared" si="3"/>
        <v/>
      </c>
      <c r="P94" s="54"/>
      <c r="Q94" s="376"/>
      <c r="R94" s="374"/>
      <c r="S94" s="375"/>
    </row>
    <row r="95" spans="1:19" ht="14.45">
      <c r="A95" s="133">
        <v>6</v>
      </c>
      <c r="B95" s="140" t="s">
        <v>168</v>
      </c>
      <c r="C95" s="140" t="s">
        <v>169</v>
      </c>
      <c r="D95" s="136" t="s">
        <v>170</v>
      </c>
      <c r="E95" s="128"/>
      <c r="F95" s="128"/>
      <c r="G95" s="128"/>
      <c r="H95" s="128"/>
      <c r="I95" s="128"/>
      <c r="J95" s="128"/>
      <c r="K95" s="129"/>
      <c r="L95" s="2" t="s">
        <v>41</v>
      </c>
      <c r="M95" s="83">
        <v>5</v>
      </c>
      <c r="N95" s="47">
        <f t="shared" si="2"/>
        <v>0</v>
      </c>
      <c r="O95" s="47">
        <f t="shared" si="3"/>
        <v>0</v>
      </c>
      <c r="P95" s="183">
        <f>IFERROR(AVERAGE(O95:O105),"")</f>
        <v>1.0909090909090908</v>
      </c>
      <c r="Q95" s="202" t="s">
        <v>171</v>
      </c>
      <c r="R95" s="203"/>
      <c r="S95" s="204"/>
    </row>
    <row r="96" spans="1:19" ht="14.45">
      <c r="A96" s="134"/>
      <c r="B96" s="141"/>
      <c r="C96" s="141"/>
      <c r="D96" s="136" t="s">
        <v>172</v>
      </c>
      <c r="E96" s="128"/>
      <c r="F96" s="128"/>
      <c r="G96" s="128"/>
      <c r="H96" s="128"/>
      <c r="I96" s="128"/>
      <c r="J96" s="128"/>
      <c r="K96" s="129"/>
      <c r="L96" s="2" t="s">
        <v>41</v>
      </c>
      <c r="M96" s="83">
        <v>5</v>
      </c>
      <c r="N96" s="47">
        <f t="shared" si="2"/>
        <v>0</v>
      </c>
      <c r="O96" s="47">
        <f t="shared" si="3"/>
        <v>0</v>
      </c>
      <c r="P96" s="184"/>
      <c r="Q96" s="205"/>
      <c r="R96" s="206"/>
      <c r="S96" s="207"/>
    </row>
    <row r="97" spans="1:19" ht="14.45">
      <c r="A97" s="134"/>
      <c r="B97" s="141"/>
      <c r="C97" s="141"/>
      <c r="D97" s="136" t="s">
        <v>173</v>
      </c>
      <c r="E97" s="128"/>
      <c r="F97" s="128"/>
      <c r="G97" s="128"/>
      <c r="H97" s="128"/>
      <c r="I97" s="128"/>
      <c r="J97" s="128"/>
      <c r="K97" s="129"/>
      <c r="L97" s="2" t="s">
        <v>41</v>
      </c>
      <c r="M97" s="83">
        <v>3</v>
      </c>
      <c r="N97" s="47">
        <f t="shared" si="2"/>
        <v>0</v>
      </c>
      <c r="O97" s="47">
        <f t="shared" si="3"/>
        <v>0</v>
      </c>
      <c r="P97" s="184"/>
      <c r="Q97" s="205"/>
      <c r="R97" s="206"/>
      <c r="S97" s="207"/>
    </row>
    <row r="98" spans="1:19" ht="14.45">
      <c r="A98" s="134"/>
      <c r="B98" s="141"/>
      <c r="C98" s="141"/>
      <c r="D98" s="136" t="s">
        <v>174</v>
      </c>
      <c r="E98" s="128"/>
      <c r="F98" s="128"/>
      <c r="G98" s="128"/>
      <c r="H98" s="128"/>
      <c r="I98" s="128"/>
      <c r="J98" s="128"/>
      <c r="K98" s="129"/>
      <c r="L98" s="2" t="s">
        <v>41</v>
      </c>
      <c r="M98" s="83">
        <v>5</v>
      </c>
      <c r="N98" s="47">
        <f t="shared" si="2"/>
        <v>0</v>
      </c>
      <c r="O98" s="47">
        <f t="shared" si="3"/>
        <v>0</v>
      </c>
      <c r="P98" s="184"/>
      <c r="Q98" s="205"/>
      <c r="R98" s="206"/>
      <c r="S98" s="207"/>
    </row>
    <row r="99" spans="1:19" ht="14.45">
      <c r="A99" s="134"/>
      <c r="B99" s="141"/>
      <c r="C99" s="141"/>
      <c r="D99" s="177" t="s">
        <v>175</v>
      </c>
      <c r="E99" s="178"/>
      <c r="F99" s="178"/>
      <c r="G99" s="178"/>
      <c r="H99" s="178"/>
      <c r="I99" s="178"/>
      <c r="J99" s="178"/>
      <c r="K99" s="179"/>
      <c r="L99" s="2" t="s">
        <v>52</v>
      </c>
      <c r="M99" s="83">
        <v>3</v>
      </c>
      <c r="N99" s="47">
        <f t="shared" si="2"/>
        <v>4</v>
      </c>
      <c r="O99" s="47">
        <f t="shared" si="3"/>
        <v>12</v>
      </c>
      <c r="P99" s="184"/>
      <c r="Q99" s="205"/>
      <c r="R99" s="206"/>
      <c r="S99" s="207"/>
    </row>
    <row r="100" spans="1:19" ht="14.45">
      <c r="A100" s="134"/>
      <c r="B100" s="141"/>
      <c r="C100" s="141"/>
      <c r="D100" s="177" t="s">
        <v>176</v>
      </c>
      <c r="E100" s="178"/>
      <c r="F100" s="178"/>
      <c r="G100" s="178"/>
      <c r="H100" s="178"/>
      <c r="I100" s="178"/>
      <c r="J100" s="178"/>
      <c r="K100" s="179"/>
      <c r="L100" s="2" t="s">
        <v>41</v>
      </c>
      <c r="M100" s="83">
        <v>5</v>
      </c>
      <c r="N100" s="47">
        <f t="shared" si="2"/>
        <v>0</v>
      </c>
      <c r="O100" s="47">
        <f t="shared" si="3"/>
        <v>0</v>
      </c>
      <c r="P100" s="184"/>
      <c r="Q100" s="205"/>
      <c r="R100" s="206"/>
      <c r="S100" s="207"/>
    </row>
    <row r="101" spans="1:19" ht="14.45">
      <c r="A101" s="134"/>
      <c r="B101" s="141"/>
      <c r="C101" s="141"/>
      <c r="D101" s="177" t="s">
        <v>177</v>
      </c>
      <c r="E101" s="178"/>
      <c r="F101" s="178"/>
      <c r="G101" s="178"/>
      <c r="H101" s="178"/>
      <c r="I101" s="178"/>
      <c r="J101" s="178"/>
      <c r="K101" s="179"/>
      <c r="L101" s="2" t="s">
        <v>41</v>
      </c>
      <c r="M101" s="83">
        <v>5</v>
      </c>
      <c r="N101" s="47">
        <f t="shared" si="2"/>
        <v>0</v>
      </c>
      <c r="O101" s="47">
        <f t="shared" si="3"/>
        <v>0</v>
      </c>
      <c r="P101" s="184"/>
      <c r="Q101" s="205"/>
      <c r="R101" s="206"/>
      <c r="S101" s="207"/>
    </row>
    <row r="102" spans="1:19" ht="14.45">
      <c r="A102" s="134"/>
      <c r="B102" s="141"/>
      <c r="C102" s="141"/>
      <c r="D102" s="177" t="s">
        <v>178</v>
      </c>
      <c r="E102" s="178"/>
      <c r="F102" s="178"/>
      <c r="G102" s="178"/>
      <c r="H102" s="178"/>
      <c r="I102" s="178"/>
      <c r="J102" s="178"/>
      <c r="K102" s="179"/>
      <c r="L102" s="2" t="s">
        <v>41</v>
      </c>
      <c r="M102" s="83">
        <v>4</v>
      </c>
      <c r="N102" s="47">
        <f t="shared" si="2"/>
        <v>0</v>
      </c>
      <c r="O102" s="47">
        <f t="shared" si="3"/>
        <v>0</v>
      </c>
      <c r="P102" s="184"/>
      <c r="Q102" s="205"/>
      <c r="R102" s="206"/>
      <c r="S102" s="207"/>
    </row>
    <row r="103" spans="1:19" ht="14.45">
      <c r="A103" s="134"/>
      <c r="B103" s="141"/>
      <c r="C103" s="141"/>
      <c r="D103" s="41" t="s">
        <v>179</v>
      </c>
      <c r="E103" s="42"/>
      <c r="F103" s="42"/>
      <c r="G103" s="42"/>
      <c r="H103" s="42"/>
      <c r="I103" s="42"/>
      <c r="J103" s="42"/>
      <c r="K103" s="43"/>
      <c r="L103" s="2" t="s">
        <v>41</v>
      </c>
      <c r="M103" s="83">
        <v>4</v>
      </c>
      <c r="N103" s="47">
        <f t="shared" si="2"/>
        <v>0</v>
      </c>
      <c r="O103" s="47">
        <f t="shared" si="3"/>
        <v>0</v>
      </c>
      <c r="P103" s="184"/>
      <c r="Q103" s="205"/>
      <c r="R103" s="206"/>
      <c r="S103" s="207"/>
    </row>
    <row r="104" spans="1:19" ht="14.45">
      <c r="A104" s="134"/>
      <c r="B104" s="141"/>
      <c r="C104" s="141"/>
      <c r="D104" s="41" t="s">
        <v>180</v>
      </c>
      <c r="E104" s="42"/>
      <c r="F104" s="42"/>
      <c r="G104" s="42"/>
      <c r="H104" s="42"/>
      <c r="I104" s="42"/>
      <c r="J104" s="42"/>
      <c r="K104" s="43"/>
      <c r="L104" s="2" t="s">
        <v>41</v>
      </c>
      <c r="M104" s="83">
        <v>5</v>
      </c>
      <c r="N104" s="47">
        <f t="shared" si="2"/>
        <v>0</v>
      </c>
      <c r="O104" s="47">
        <f t="shared" si="3"/>
        <v>0</v>
      </c>
      <c r="P104" s="184"/>
      <c r="Q104" s="205"/>
      <c r="R104" s="206"/>
      <c r="S104" s="207"/>
    </row>
    <row r="105" spans="1:19" ht="14.45">
      <c r="A105" s="134"/>
      <c r="B105" s="141"/>
      <c r="C105" s="142"/>
      <c r="D105" s="171" t="s">
        <v>181</v>
      </c>
      <c r="E105" s="172"/>
      <c r="F105" s="172"/>
      <c r="G105" s="172"/>
      <c r="H105" s="172"/>
      <c r="I105" s="172"/>
      <c r="J105" s="172"/>
      <c r="K105" s="173"/>
      <c r="L105" s="2" t="s">
        <v>41</v>
      </c>
      <c r="M105" s="83">
        <v>4</v>
      </c>
      <c r="N105" s="47">
        <f t="shared" si="2"/>
        <v>0</v>
      </c>
      <c r="O105" s="47">
        <f t="shared" si="3"/>
        <v>0</v>
      </c>
      <c r="P105" s="185"/>
      <c r="Q105" s="208"/>
      <c r="R105" s="209"/>
      <c r="S105" s="210"/>
    </row>
    <row r="106" spans="1:19" ht="14.45">
      <c r="A106" s="134"/>
      <c r="B106" s="141"/>
      <c r="C106" s="21"/>
      <c r="D106" s="33"/>
      <c r="E106" s="34"/>
      <c r="F106" s="34"/>
      <c r="G106" s="34"/>
      <c r="H106" s="34"/>
      <c r="I106" s="34"/>
      <c r="J106" s="34"/>
      <c r="K106" s="35"/>
      <c r="L106" s="2"/>
      <c r="M106" s="47"/>
      <c r="N106" s="47" t="str">
        <f t="shared" si="2"/>
        <v/>
      </c>
      <c r="O106" s="47" t="str">
        <f t="shared" si="3"/>
        <v/>
      </c>
      <c r="P106" s="54"/>
      <c r="Q106" s="121"/>
      <c r="R106" s="122"/>
      <c r="S106" s="123"/>
    </row>
    <row r="107" spans="1:19" ht="14.45">
      <c r="A107" s="134"/>
      <c r="B107" s="141"/>
      <c r="C107" s="140" t="s">
        <v>182</v>
      </c>
      <c r="D107" s="177" t="s">
        <v>183</v>
      </c>
      <c r="E107" s="178"/>
      <c r="F107" s="178"/>
      <c r="G107" s="178"/>
      <c r="H107" s="178"/>
      <c r="I107" s="178"/>
      <c r="J107" s="178"/>
      <c r="K107" s="179"/>
      <c r="L107" s="2" t="s">
        <v>41</v>
      </c>
      <c r="M107" s="83">
        <v>5</v>
      </c>
      <c r="N107" s="47">
        <f t="shared" si="2"/>
        <v>0</v>
      </c>
      <c r="O107" s="47">
        <f t="shared" si="3"/>
        <v>0</v>
      </c>
      <c r="P107" s="183">
        <f>IFERROR(AVERAGE(O107:O111),"")</f>
        <v>4</v>
      </c>
      <c r="Q107" s="202" t="s">
        <v>184</v>
      </c>
      <c r="R107" s="203"/>
      <c r="S107" s="204"/>
    </row>
    <row r="108" spans="1:19" ht="14.45">
      <c r="A108" s="134"/>
      <c r="B108" s="141"/>
      <c r="C108" s="141"/>
      <c r="D108" s="177" t="s">
        <v>185</v>
      </c>
      <c r="E108" s="178"/>
      <c r="F108" s="178"/>
      <c r="G108" s="178"/>
      <c r="H108" s="178"/>
      <c r="I108" s="178"/>
      <c r="J108" s="178"/>
      <c r="K108" s="179"/>
      <c r="L108" s="2" t="s">
        <v>41</v>
      </c>
      <c r="M108" s="83">
        <v>5</v>
      </c>
      <c r="N108" s="47">
        <f t="shared" si="2"/>
        <v>0</v>
      </c>
      <c r="O108" s="47">
        <f t="shared" si="3"/>
        <v>0</v>
      </c>
      <c r="P108" s="184"/>
      <c r="Q108" s="205"/>
      <c r="R108" s="206"/>
      <c r="S108" s="207"/>
    </row>
    <row r="109" spans="1:19" ht="14.45">
      <c r="A109" s="134"/>
      <c r="B109" s="141"/>
      <c r="C109" s="141"/>
      <c r="D109" s="177" t="s">
        <v>186</v>
      </c>
      <c r="E109" s="178"/>
      <c r="F109" s="178"/>
      <c r="G109" s="178"/>
      <c r="H109" s="178"/>
      <c r="I109" s="178"/>
      <c r="J109" s="178"/>
      <c r="K109" s="179"/>
      <c r="L109" s="2" t="s">
        <v>30</v>
      </c>
      <c r="M109" s="83">
        <v>4</v>
      </c>
      <c r="N109" s="47">
        <f t="shared" si="2"/>
        <v>5</v>
      </c>
      <c r="O109" s="47">
        <f t="shared" si="3"/>
        <v>20</v>
      </c>
      <c r="P109" s="184"/>
      <c r="Q109" s="205"/>
      <c r="R109" s="206"/>
      <c r="S109" s="207"/>
    </row>
    <row r="110" spans="1:19" ht="14.45">
      <c r="A110" s="134"/>
      <c r="B110" s="141"/>
      <c r="C110" s="141"/>
      <c r="D110" s="177" t="s">
        <v>187</v>
      </c>
      <c r="E110" s="178"/>
      <c r="F110" s="178"/>
      <c r="G110" s="178"/>
      <c r="H110" s="178"/>
      <c r="I110" s="178"/>
      <c r="J110" s="178"/>
      <c r="K110" s="179"/>
      <c r="L110" s="2" t="s">
        <v>41</v>
      </c>
      <c r="M110" s="83">
        <v>3</v>
      </c>
      <c r="N110" s="47">
        <f t="shared" si="2"/>
        <v>0</v>
      </c>
      <c r="O110" s="47">
        <f t="shared" si="3"/>
        <v>0</v>
      </c>
      <c r="P110" s="184"/>
      <c r="Q110" s="205"/>
      <c r="R110" s="206"/>
      <c r="S110" s="207"/>
    </row>
    <row r="111" spans="1:19" ht="14.45">
      <c r="A111" s="134"/>
      <c r="B111" s="141"/>
      <c r="C111" s="142"/>
      <c r="D111" s="177" t="s">
        <v>188</v>
      </c>
      <c r="E111" s="178"/>
      <c r="F111" s="178"/>
      <c r="G111" s="178"/>
      <c r="H111" s="178"/>
      <c r="I111" s="178"/>
      <c r="J111" s="178"/>
      <c r="K111" s="179"/>
      <c r="L111" s="2" t="s">
        <v>41</v>
      </c>
      <c r="M111" s="83">
        <v>4</v>
      </c>
      <c r="N111" s="47">
        <f t="shared" si="2"/>
        <v>0</v>
      </c>
      <c r="O111" s="47">
        <f t="shared" si="3"/>
        <v>0</v>
      </c>
      <c r="P111" s="185"/>
      <c r="Q111" s="208"/>
      <c r="R111" s="209"/>
      <c r="S111" s="210"/>
    </row>
    <row r="112" spans="1:19" s="40" customFormat="1" ht="14.45">
      <c r="A112" s="134"/>
      <c r="B112" s="141"/>
      <c r="C112" s="36"/>
      <c r="D112" s="37"/>
      <c r="E112" s="38"/>
      <c r="F112" s="38"/>
      <c r="G112" s="38"/>
      <c r="H112" s="38"/>
      <c r="I112" s="38"/>
      <c r="J112" s="38"/>
      <c r="K112" s="39"/>
      <c r="L112" s="2"/>
      <c r="M112" s="47"/>
      <c r="N112" s="47" t="str">
        <f t="shared" si="2"/>
        <v/>
      </c>
      <c r="O112" s="47" t="str">
        <f t="shared" si="3"/>
        <v/>
      </c>
      <c r="P112" s="54"/>
      <c r="Q112" s="69"/>
      <c r="R112" s="69"/>
      <c r="S112" s="70"/>
    </row>
    <row r="113" spans="1:19" ht="14.45">
      <c r="A113" s="134"/>
      <c r="B113" s="141"/>
      <c r="C113" s="140" t="s">
        <v>189</v>
      </c>
      <c r="D113" s="136" t="s">
        <v>190</v>
      </c>
      <c r="E113" s="128"/>
      <c r="F113" s="128"/>
      <c r="G113" s="128"/>
      <c r="H113" s="128"/>
      <c r="I113" s="128"/>
      <c r="J113" s="128"/>
      <c r="K113" s="129"/>
      <c r="L113" s="2" t="s">
        <v>41</v>
      </c>
      <c r="M113" s="83">
        <v>5</v>
      </c>
      <c r="N113" s="47">
        <f t="shared" si="2"/>
        <v>0</v>
      </c>
      <c r="O113" s="47">
        <f t="shared" si="3"/>
        <v>0</v>
      </c>
      <c r="P113" s="183">
        <f>IFERROR(AVERAGE(O113:O119),"")</f>
        <v>2.8571428571428572</v>
      </c>
      <c r="Q113" s="121" t="s">
        <v>191</v>
      </c>
      <c r="R113" s="122"/>
      <c r="S113" s="123"/>
    </row>
    <row r="114" spans="1:19" ht="14.45">
      <c r="A114" s="134"/>
      <c r="B114" s="141"/>
      <c r="C114" s="141"/>
      <c r="D114" s="177" t="s">
        <v>192</v>
      </c>
      <c r="E114" s="178"/>
      <c r="F114" s="178"/>
      <c r="G114" s="178"/>
      <c r="H114" s="178"/>
      <c r="I114" s="178"/>
      <c r="J114" s="178"/>
      <c r="K114" s="179"/>
      <c r="L114" s="2" t="s">
        <v>52</v>
      </c>
      <c r="M114" s="83">
        <v>5</v>
      </c>
      <c r="N114" s="47">
        <f t="shared" si="2"/>
        <v>4</v>
      </c>
      <c r="O114" s="47">
        <f t="shared" si="3"/>
        <v>20</v>
      </c>
      <c r="P114" s="184"/>
      <c r="Q114" s="121" t="s">
        <v>193</v>
      </c>
      <c r="R114" s="122"/>
      <c r="S114" s="123"/>
    </row>
    <row r="115" spans="1:19" ht="14.45">
      <c r="A115" s="134"/>
      <c r="B115" s="141"/>
      <c r="C115" s="141"/>
      <c r="D115" s="177" t="s">
        <v>194</v>
      </c>
      <c r="E115" s="178"/>
      <c r="F115" s="178"/>
      <c r="G115" s="178"/>
      <c r="H115" s="178"/>
      <c r="I115" s="178"/>
      <c r="J115" s="178"/>
      <c r="K115" s="179"/>
      <c r="L115" s="2" t="s">
        <v>41</v>
      </c>
      <c r="M115" s="83">
        <v>4</v>
      </c>
      <c r="N115" s="47">
        <f t="shared" si="2"/>
        <v>0</v>
      </c>
      <c r="O115" s="47">
        <f t="shared" si="3"/>
        <v>0</v>
      </c>
      <c r="P115" s="184"/>
      <c r="Q115" s="202" t="s">
        <v>195</v>
      </c>
      <c r="R115" s="203"/>
      <c r="S115" s="204"/>
    </row>
    <row r="116" spans="1:19" ht="14.45">
      <c r="A116" s="134"/>
      <c r="B116" s="141"/>
      <c r="C116" s="141"/>
      <c r="D116" s="136" t="s">
        <v>196</v>
      </c>
      <c r="E116" s="128"/>
      <c r="F116" s="128"/>
      <c r="G116" s="128"/>
      <c r="H116" s="128"/>
      <c r="I116" s="128"/>
      <c r="J116" s="128"/>
      <c r="K116" s="129"/>
      <c r="L116" s="2" t="s">
        <v>41</v>
      </c>
      <c r="M116" s="83">
        <v>3</v>
      </c>
      <c r="N116" s="47">
        <f t="shared" si="2"/>
        <v>0</v>
      </c>
      <c r="O116" s="47">
        <f t="shared" si="3"/>
        <v>0</v>
      </c>
      <c r="P116" s="184"/>
      <c r="Q116" s="205"/>
      <c r="R116" s="206"/>
      <c r="S116" s="207"/>
    </row>
    <row r="117" spans="1:19" ht="14.45">
      <c r="A117" s="134"/>
      <c r="B117" s="141"/>
      <c r="C117" s="141"/>
      <c r="D117" s="177" t="s">
        <v>197</v>
      </c>
      <c r="E117" s="178"/>
      <c r="F117" s="178"/>
      <c r="G117" s="178"/>
      <c r="H117" s="178"/>
      <c r="I117" s="178"/>
      <c r="J117" s="178"/>
      <c r="K117" s="179"/>
      <c r="L117" s="2" t="s">
        <v>41</v>
      </c>
      <c r="M117" s="83">
        <v>4</v>
      </c>
      <c r="N117" s="47">
        <f t="shared" si="2"/>
        <v>0</v>
      </c>
      <c r="O117" s="47">
        <f t="shared" si="3"/>
        <v>0</v>
      </c>
      <c r="P117" s="184"/>
      <c r="Q117" s="205"/>
      <c r="R117" s="206"/>
      <c r="S117" s="207"/>
    </row>
    <row r="118" spans="1:19" ht="14.45">
      <c r="A118" s="134"/>
      <c r="B118" s="141"/>
      <c r="C118" s="141"/>
      <c r="D118" s="177" t="s">
        <v>198</v>
      </c>
      <c r="E118" s="178"/>
      <c r="F118" s="178"/>
      <c r="G118" s="178"/>
      <c r="H118" s="178"/>
      <c r="I118" s="178"/>
      <c r="J118" s="178"/>
      <c r="K118" s="179"/>
      <c r="L118" s="2" t="s">
        <v>41</v>
      </c>
      <c r="M118" s="83">
        <v>4</v>
      </c>
      <c r="N118" s="47">
        <f t="shared" si="2"/>
        <v>0</v>
      </c>
      <c r="O118" s="47">
        <f t="shared" si="3"/>
        <v>0</v>
      </c>
      <c r="P118" s="184"/>
      <c r="Q118" s="205"/>
      <c r="R118" s="206"/>
      <c r="S118" s="207"/>
    </row>
    <row r="119" spans="1:19" ht="14.45">
      <c r="A119" s="135"/>
      <c r="B119" s="142"/>
      <c r="C119" s="142"/>
      <c r="D119" s="177" t="s">
        <v>199</v>
      </c>
      <c r="E119" s="178"/>
      <c r="F119" s="178"/>
      <c r="G119" s="178"/>
      <c r="H119" s="178"/>
      <c r="I119" s="178"/>
      <c r="J119" s="178"/>
      <c r="K119" s="179"/>
      <c r="L119" s="2" t="s">
        <v>41</v>
      </c>
      <c r="M119" s="83">
        <v>3</v>
      </c>
      <c r="N119" s="47">
        <f t="shared" si="2"/>
        <v>0</v>
      </c>
      <c r="O119" s="47">
        <f t="shared" si="3"/>
        <v>0</v>
      </c>
      <c r="P119" s="185"/>
      <c r="Q119" s="208"/>
      <c r="R119" s="209"/>
      <c r="S119" s="210"/>
    </row>
    <row r="120" spans="1:19" ht="14.45">
      <c r="A120" s="59"/>
      <c r="B120" s="4"/>
      <c r="C120" s="4"/>
      <c r="D120" s="177"/>
      <c r="E120" s="178"/>
      <c r="F120" s="178"/>
      <c r="G120" s="178"/>
      <c r="H120" s="178"/>
      <c r="I120" s="178"/>
      <c r="J120" s="178"/>
      <c r="K120" s="179"/>
      <c r="L120" s="2"/>
      <c r="M120" s="47"/>
      <c r="N120" s="47" t="str">
        <f t="shared" si="2"/>
        <v/>
      </c>
      <c r="O120" s="47" t="str">
        <f t="shared" si="3"/>
        <v/>
      </c>
      <c r="P120" s="54"/>
      <c r="Q120" s="376"/>
      <c r="R120" s="374"/>
      <c r="S120" s="375"/>
    </row>
    <row r="121" spans="1:19" ht="14.45">
      <c r="A121" s="133">
        <v>7</v>
      </c>
      <c r="B121" s="140" t="s">
        <v>200</v>
      </c>
      <c r="C121" s="133" t="s">
        <v>201</v>
      </c>
      <c r="D121" s="380" t="s">
        <v>202</v>
      </c>
      <c r="E121" s="378"/>
      <c r="F121" s="378"/>
      <c r="G121" s="378"/>
      <c r="H121" s="378"/>
      <c r="I121" s="378"/>
      <c r="J121" s="378"/>
      <c r="K121" s="379"/>
      <c r="L121" s="2" t="s">
        <v>30</v>
      </c>
      <c r="M121" s="83">
        <v>5</v>
      </c>
      <c r="N121" s="47">
        <f t="shared" si="2"/>
        <v>5</v>
      </c>
      <c r="O121" s="47">
        <f t="shared" si="3"/>
        <v>25</v>
      </c>
      <c r="P121" s="183">
        <f>IFERROR(AVERAGE(O121:O123),"")</f>
        <v>22</v>
      </c>
      <c r="Q121" s="376" t="s">
        <v>203</v>
      </c>
      <c r="R121" s="374"/>
      <c r="S121" s="375"/>
    </row>
    <row r="122" spans="1:19" ht="14.45">
      <c r="A122" s="134"/>
      <c r="B122" s="141"/>
      <c r="C122" s="134"/>
      <c r="D122" s="380" t="s">
        <v>204</v>
      </c>
      <c r="E122" s="378"/>
      <c r="F122" s="378"/>
      <c r="G122" s="378"/>
      <c r="H122" s="378"/>
      <c r="I122" s="378"/>
      <c r="J122" s="378"/>
      <c r="K122" s="379"/>
      <c r="L122" s="2" t="s">
        <v>52</v>
      </c>
      <c r="M122" s="83">
        <v>4</v>
      </c>
      <c r="N122" s="47">
        <f t="shared" si="2"/>
        <v>4</v>
      </c>
      <c r="O122" s="47">
        <f t="shared" si="3"/>
        <v>16</v>
      </c>
      <c r="P122" s="184"/>
      <c r="Q122" s="376" t="s">
        <v>205</v>
      </c>
      <c r="R122" s="374"/>
      <c r="S122" s="375"/>
    </row>
    <row r="123" spans="1:19" ht="14.45">
      <c r="A123" s="135"/>
      <c r="B123" s="142"/>
      <c r="C123" s="135"/>
      <c r="D123" s="380" t="s">
        <v>206</v>
      </c>
      <c r="E123" s="378"/>
      <c r="F123" s="378"/>
      <c r="G123" s="378"/>
      <c r="H123" s="378"/>
      <c r="I123" s="378"/>
      <c r="J123" s="378"/>
      <c r="K123" s="379"/>
      <c r="L123" s="2" t="s">
        <v>30</v>
      </c>
      <c r="M123" s="83">
        <v>5</v>
      </c>
      <c r="N123" s="47">
        <f t="shared" si="2"/>
        <v>5</v>
      </c>
      <c r="O123" s="47">
        <f t="shared" si="3"/>
        <v>25</v>
      </c>
      <c r="P123" s="185"/>
      <c r="Q123" s="376"/>
      <c r="R123" s="374"/>
      <c r="S123" s="375"/>
    </row>
    <row r="124" spans="1:19" ht="14.45">
      <c r="A124" s="59"/>
      <c r="B124" s="20"/>
      <c r="C124" s="20"/>
      <c r="D124" s="16"/>
      <c r="E124" s="17"/>
      <c r="F124" s="17"/>
      <c r="G124" s="17"/>
      <c r="H124" s="17"/>
      <c r="I124" s="17"/>
      <c r="J124" s="17"/>
      <c r="K124" s="18"/>
      <c r="L124" s="2"/>
      <c r="M124" s="47"/>
      <c r="N124" s="47" t="str">
        <f t="shared" si="2"/>
        <v/>
      </c>
      <c r="O124" s="47" t="str">
        <f t="shared" si="3"/>
        <v/>
      </c>
      <c r="P124" s="54"/>
      <c r="Q124" s="322"/>
      <c r="R124" s="315"/>
      <c r="S124" s="316"/>
    </row>
    <row r="125" spans="1:19" s="72" customFormat="1" ht="17.25" customHeight="1">
      <c r="A125" s="133">
        <v>8</v>
      </c>
      <c r="B125" s="140" t="s">
        <v>207</v>
      </c>
      <c r="C125" s="140" t="s">
        <v>208</v>
      </c>
      <c r="D125" s="165" t="s">
        <v>209</v>
      </c>
      <c r="E125" s="166"/>
      <c r="F125" s="166"/>
      <c r="G125" s="166"/>
      <c r="H125" s="166"/>
      <c r="I125" s="166"/>
      <c r="J125" s="166"/>
      <c r="K125" s="167"/>
      <c r="L125" s="104" t="s">
        <v>30</v>
      </c>
      <c r="M125" s="83">
        <v>5</v>
      </c>
      <c r="N125" s="47">
        <f t="shared" si="2"/>
        <v>5</v>
      </c>
      <c r="O125" s="47">
        <f t="shared" si="3"/>
        <v>25</v>
      </c>
      <c r="P125" s="183">
        <f>IFERROR(AVERAGE(O125:O130),"")</f>
        <v>18.333333333333332</v>
      </c>
      <c r="Q125" s="323" t="s">
        <v>210</v>
      </c>
      <c r="R125" s="324"/>
      <c r="S125" s="325"/>
    </row>
    <row r="126" spans="1:19" ht="14.45">
      <c r="A126" s="134"/>
      <c r="B126" s="141"/>
      <c r="C126" s="141"/>
      <c r="D126" s="136" t="s">
        <v>211</v>
      </c>
      <c r="E126" s="128"/>
      <c r="F126" s="128"/>
      <c r="G126" s="128"/>
      <c r="H126" s="128"/>
      <c r="I126" s="128"/>
      <c r="J126" s="128"/>
      <c r="K126" s="129"/>
      <c r="L126" s="104" t="s">
        <v>30</v>
      </c>
      <c r="M126" s="83">
        <v>5</v>
      </c>
      <c r="N126" s="47">
        <f t="shared" si="2"/>
        <v>5</v>
      </c>
      <c r="O126" s="47">
        <f t="shared" si="3"/>
        <v>25</v>
      </c>
      <c r="P126" s="184"/>
      <c r="Q126" s="322" t="s">
        <v>30</v>
      </c>
      <c r="R126" s="315"/>
      <c r="S126" s="316"/>
    </row>
    <row r="127" spans="1:19" ht="14.45">
      <c r="A127" s="134"/>
      <c r="B127" s="141"/>
      <c r="C127" s="141"/>
      <c r="D127" s="136" t="s">
        <v>212</v>
      </c>
      <c r="E127" s="128"/>
      <c r="F127" s="128"/>
      <c r="G127" s="128"/>
      <c r="H127" s="128"/>
      <c r="I127" s="128"/>
      <c r="J127" s="128"/>
      <c r="K127" s="129"/>
      <c r="L127" s="104" t="s">
        <v>30</v>
      </c>
      <c r="M127" s="83">
        <v>4</v>
      </c>
      <c r="N127" s="47">
        <f t="shared" si="2"/>
        <v>5</v>
      </c>
      <c r="O127" s="47">
        <f t="shared" si="3"/>
        <v>20</v>
      </c>
      <c r="P127" s="184"/>
      <c r="Q127" s="322" t="s">
        <v>213</v>
      </c>
      <c r="R127" s="315"/>
      <c r="S127" s="316"/>
    </row>
    <row r="128" spans="1:19" ht="14.45">
      <c r="A128" s="134"/>
      <c r="B128" s="141"/>
      <c r="C128" s="141"/>
      <c r="D128" s="136" t="s">
        <v>214</v>
      </c>
      <c r="E128" s="128"/>
      <c r="F128" s="128"/>
      <c r="G128" s="128"/>
      <c r="H128" s="128"/>
      <c r="I128" s="128"/>
      <c r="J128" s="128"/>
      <c r="K128" s="129"/>
      <c r="L128" s="104" t="s">
        <v>52</v>
      </c>
      <c r="M128" s="83">
        <v>5</v>
      </c>
      <c r="N128" s="47">
        <f t="shared" si="2"/>
        <v>4</v>
      </c>
      <c r="O128" s="47">
        <f t="shared" si="3"/>
        <v>20</v>
      </c>
      <c r="P128" s="184"/>
      <c r="Q128" s="237" t="s">
        <v>215</v>
      </c>
      <c r="R128" s="238"/>
      <c r="S128" s="239"/>
    </row>
    <row r="129" spans="1:19" ht="14.45">
      <c r="A129" s="134"/>
      <c r="B129" s="141"/>
      <c r="C129" s="141"/>
      <c r="D129" s="136" t="s">
        <v>216</v>
      </c>
      <c r="E129" s="128"/>
      <c r="F129" s="128"/>
      <c r="G129" s="128"/>
      <c r="H129" s="128"/>
      <c r="I129" s="128"/>
      <c r="J129" s="128"/>
      <c r="K129" s="129"/>
      <c r="L129" s="104" t="s">
        <v>41</v>
      </c>
      <c r="M129" s="83">
        <v>4</v>
      </c>
      <c r="N129" s="47">
        <f t="shared" si="2"/>
        <v>0</v>
      </c>
      <c r="O129" s="47">
        <f t="shared" si="3"/>
        <v>0</v>
      </c>
      <c r="P129" s="184"/>
      <c r="Q129" s="240"/>
      <c r="R129" s="241"/>
      <c r="S129" s="242"/>
    </row>
    <row r="130" spans="1:19" s="72" customFormat="1" ht="29.45" customHeight="1">
      <c r="A130" s="134"/>
      <c r="B130" s="141"/>
      <c r="C130" s="142"/>
      <c r="D130" s="165" t="s">
        <v>217</v>
      </c>
      <c r="E130" s="166"/>
      <c r="F130" s="166"/>
      <c r="G130" s="166"/>
      <c r="H130" s="166"/>
      <c r="I130" s="166"/>
      <c r="J130" s="166"/>
      <c r="K130" s="167"/>
      <c r="L130" s="104" t="s">
        <v>52</v>
      </c>
      <c r="M130" s="83">
        <v>5</v>
      </c>
      <c r="N130" s="47">
        <f t="shared" si="2"/>
        <v>4</v>
      </c>
      <c r="O130" s="47">
        <f t="shared" si="3"/>
        <v>20</v>
      </c>
      <c r="P130" s="185"/>
      <c r="Q130" s="243"/>
      <c r="R130" s="244"/>
      <c r="S130" s="245"/>
    </row>
    <row r="131" spans="1:19" ht="14.45">
      <c r="A131" s="134"/>
      <c r="B131" s="141"/>
      <c r="C131" s="4"/>
      <c r="D131" s="136"/>
      <c r="E131" s="128"/>
      <c r="F131" s="128"/>
      <c r="G131" s="128"/>
      <c r="H131" s="128"/>
      <c r="I131" s="128"/>
      <c r="J131" s="128"/>
      <c r="K131" s="129"/>
      <c r="L131" s="2"/>
      <c r="M131" s="47"/>
      <c r="N131" s="47"/>
      <c r="O131" s="47"/>
      <c r="P131" s="54"/>
      <c r="Q131" s="376"/>
      <c r="R131" s="374"/>
      <c r="S131" s="375"/>
    </row>
    <row r="132" spans="1:19" ht="14.45">
      <c r="A132" s="134"/>
      <c r="B132" s="141"/>
      <c r="C132" s="140" t="s">
        <v>218</v>
      </c>
      <c r="D132" s="136" t="s">
        <v>219</v>
      </c>
      <c r="E132" s="128"/>
      <c r="F132" s="128"/>
      <c r="G132" s="128"/>
      <c r="H132" s="128"/>
      <c r="I132" s="128"/>
      <c r="J132" s="128"/>
      <c r="K132" s="129"/>
      <c r="L132" s="2" t="s">
        <v>142</v>
      </c>
      <c r="M132" s="83">
        <v>5</v>
      </c>
      <c r="N132" s="47">
        <f t="shared" ref="N132:N196" si="4">IF(L132="NA","",
IF(L132="Yes",5,
IF(L132="Partial",4,
IF(L132="In Progress",3,
IF(L132="Not clarified",2,
IF(L132="No",0,""))))))</f>
        <v>2</v>
      </c>
      <c r="O132" s="47">
        <f t="shared" ref="O132:O196" si="5">IF(N132="","",N132*M132)</f>
        <v>10</v>
      </c>
      <c r="P132" s="183">
        <f>IFERROR(AVERAGE(O132:O137),"")</f>
        <v>8.6666666666666661</v>
      </c>
      <c r="Q132" s="121"/>
      <c r="R132" s="122"/>
      <c r="S132" s="123"/>
    </row>
    <row r="133" spans="1:19" ht="14.45">
      <c r="A133" s="134"/>
      <c r="B133" s="141"/>
      <c r="C133" s="141"/>
      <c r="D133" s="136" t="s">
        <v>220</v>
      </c>
      <c r="E133" s="128"/>
      <c r="F133" s="128"/>
      <c r="G133" s="128"/>
      <c r="H133" s="128"/>
      <c r="I133" s="128"/>
      <c r="J133" s="128"/>
      <c r="K133" s="129"/>
      <c r="L133" s="2" t="s">
        <v>142</v>
      </c>
      <c r="M133" s="83">
        <v>5</v>
      </c>
      <c r="N133" s="47">
        <f t="shared" si="4"/>
        <v>2</v>
      </c>
      <c r="O133" s="47">
        <f t="shared" si="5"/>
        <v>10</v>
      </c>
      <c r="P133" s="184"/>
      <c r="Q133" s="376"/>
      <c r="R133" s="374"/>
      <c r="S133" s="375"/>
    </row>
    <row r="134" spans="1:19" ht="14.45">
      <c r="A134" s="134"/>
      <c r="B134" s="141"/>
      <c r="C134" s="141"/>
      <c r="D134" s="136" t="s">
        <v>221</v>
      </c>
      <c r="E134" s="128"/>
      <c r="F134" s="128"/>
      <c r="G134" s="128"/>
      <c r="H134" s="128"/>
      <c r="I134" s="128"/>
      <c r="J134" s="128"/>
      <c r="K134" s="129"/>
      <c r="L134" s="2" t="s">
        <v>142</v>
      </c>
      <c r="M134" s="83">
        <v>4</v>
      </c>
      <c r="N134" s="47">
        <f t="shared" si="4"/>
        <v>2</v>
      </c>
      <c r="O134" s="47">
        <f t="shared" si="5"/>
        <v>8</v>
      </c>
      <c r="P134" s="184"/>
      <c r="Q134" s="121"/>
      <c r="R134" s="122"/>
      <c r="S134" s="123"/>
    </row>
    <row r="135" spans="1:19" ht="14.45">
      <c r="A135" s="134"/>
      <c r="B135" s="141"/>
      <c r="C135" s="141"/>
      <c r="D135" s="136" t="s">
        <v>222</v>
      </c>
      <c r="E135" s="128"/>
      <c r="F135" s="128"/>
      <c r="G135" s="128"/>
      <c r="H135" s="128"/>
      <c r="I135" s="128"/>
      <c r="J135" s="128"/>
      <c r="K135" s="129"/>
      <c r="L135" s="2" t="s">
        <v>142</v>
      </c>
      <c r="M135" s="83">
        <v>5</v>
      </c>
      <c r="N135" s="47">
        <f t="shared" si="4"/>
        <v>2</v>
      </c>
      <c r="O135" s="47">
        <f t="shared" si="5"/>
        <v>10</v>
      </c>
      <c r="P135" s="184"/>
      <c r="Q135" s="121"/>
      <c r="R135" s="122"/>
      <c r="S135" s="123"/>
    </row>
    <row r="136" spans="1:19" ht="14.45">
      <c r="A136" s="134"/>
      <c r="B136" s="141"/>
      <c r="C136" s="141"/>
      <c r="D136" s="136" t="s">
        <v>223</v>
      </c>
      <c r="E136" s="128"/>
      <c r="F136" s="128"/>
      <c r="G136" s="128"/>
      <c r="H136" s="128"/>
      <c r="I136" s="128"/>
      <c r="J136" s="128"/>
      <c r="K136" s="129"/>
      <c r="L136" s="2" t="s">
        <v>142</v>
      </c>
      <c r="M136" s="83">
        <v>4</v>
      </c>
      <c r="N136" s="47">
        <f t="shared" si="4"/>
        <v>2</v>
      </c>
      <c r="O136" s="47">
        <f t="shared" si="5"/>
        <v>8</v>
      </c>
      <c r="P136" s="184"/>
      <c r="Q136" s="121"/>
      <c r="R136" s="122"/>
      <c r="S136" s="123"/>
    </row>
    <row r="137" spans="1:19" ht="14.45">
      <c r="A137" s="135"/>
      <c r="B137" s="142"/>
      <c r="C137" s="142"/>
      <c r="D137" s="136" t="s">
        <v>224</v>
      </c>
      <c r="E137" s="128"/>
      <c r="F137" s="128"/>
      <c r="G137" s="128"/>
      <c r="H137" s="128"/>
      <c r="I137" s="128"/>
      <c r="J137" s="128"/>
      <c r="K137" s="129"/>
      <c r="L137" s="2" t="s">
        <v>142</v>
      </c>
      <c r="M137" s="83">
        <v>3</v>
      </c>
      <c r="N137" s="47">
        <f t="shared" si="4"/>
        <v>2</v>
      </c>
      <c r="O137" s="47">
        <f t="shared" si="5"/>
        <v>6</v>
      </c>
      <c r="P137" s="185"/>
      <c r="Q137" s="121"/>
      <c r="R137" s="122"/>
      <c r="S137" s="123"/>
    </row>
    <row r="138" spans="1:19" ht="14.45">
      <c r="A138" s="59"/>
      <c r="B138" s="4"/>
      <c r="C138" s="4"/>
      <c r="D138" s="381"/>
      <c r="E138" s="374"/>
      <c r="F138" s="374"/>
      <c r="G138" s="374"/>
      <c r="H138" s="374"/>
      <c r="I138" s="374"/>
      <c r="J138" s="374"/>
      <c r="K138" s="375"/>
      <c r="L138" s="2"/>
      <c r="M138" s="47"/>
      <c r="N138" s="47" t="str">
        <f t="shared" si="4"/>
        <v/>
      </c>
      <c r="O138" s="47" t="str">
        <f t="shared" si="5"/>
        <v/>
      </c>
      <c r="P138" s="54"/>
      <c r="Q138" s="376"/>
      <c r="R138" s="374"/>
      <c r="S138" s="375"/>
    </row>
    <row r="139" spans="1:19" ht="14.45">
      <c r="A139" s="133">
        <v>9</v>
      </c>
      <c r="B139" s="140" t="s">
        <v>225</v>
      </c>
      <c r="C139" s="140" t="s">
        <v>225</v>
      </c>
      <c r="D139" s="136" t="s">
        <v>226</v>
      </c>
      <c r="E139" s="128"/>
      <c r="F139" s="128"/>
      <c r="G139" s="128"/>
      <c r="H139" s="128"/>
      <c r="I139" s="128"/>
      <c r="J139" s="128"/>
      <c r="K139" s="129"/>
      <c r="L139" s="2" t="s">
        <v>30</v>
      </c>
      <c r="M139" s="83">
        <v>5</v>
      </c>
      <c r="N139" s="47">
        <f t="shared" si="4"/>
        <v>5</v>
      </c>
      <c r="O139" s="47">
        <f t="shared" si="5"/>
        <v>25</v>
      </c>
      <c r="P139" s="183">
        <f>IFERROR(AVERAGE(O139:O153),"")</f>
        <v>18.071428571428573</v>
      </c>
      <c r="Q139" s="237" t="s">
        <v>227</v>
      </c>
      <c r="R139" s="238"/>
      <c r="S139" s="239"/>
    </row>
    <row r="140" spans="1:19" ht="14.45">
      <c r="A140" s="134"/>
      <c r="B140" s="141"/>
      <c r="C140" s="141"/>
      <c r="D140" s="136" t="s">
        <v>228</v>
      </c>
      <c r="E140" s="128"/>
      <c r="F140" s="128"/>
      <c r="G140" s="128"/>
      <c r="H140" s="128"/>
      <c r="I140" s="128"/>
      <c r="J140" s="128"/>
      <c r="K140" s="129"/>
      <c r="L140" s="2" t="s">
        <v>30</v>
      </c>
      <c r="M140" s="83">
        <v>5</v>
      </c>
      <c r="N140" s="47">
        <f t="shared" si="4"/>
        <v>5</v>
      </c>
      <c r="O140" s="47">
        <f t="shared" si="5"/>
        <v>25</v>
      </c>
      <c r="P140" s="184"/>
      <c r="Q140" s="243"/>
      <c r="R140" s="244"/>
      <c r="S140" s="245"/>
    </row>
    <row r="141" spans="1:19" ht="14.45">
      <c r="A141" s="134"/>
      <c r="B141" s="141"/>
      <c r="C141" s="141"/>
      <c r="D141" s="250" t="s">
        <v>229</v>
      </c>
      <c r="E141" s="251"/>
      <c r="F141" s="251"/>
      <c r="G141" s="251"/>
      <c r="H141" s="251"/>
      <c r="I141" s="251"/>
      <c r="J141" s="251"/>
      <c r="K141" s="252"/>
      <c r="L141" s="2" t="s">
        <v>30</v>
      </c>
      <c r="M141" s="83">
        <v>4</v>
      </c>
      <c r="N141" s="47">
        <f t="shared" si="4"/>
        <v>5</v>
      </c>
      <c r="O141" s="47">
        <f t="shared" si="5"/>
        <v>20</v>
      </c>
      <c r="P141" s="184"/>
      <c r="Q141" s="127" t="s">
        <v>230</v>
      </c>
      <c r="R141" s="128"/>
      <c r="S141" s="129"/>
    </row>
    <row r="142" spans="1:19" ht="14.45">
      <c r="A142" s="134"/>
      <c r="B142" s="141"/>
      <c r="C142" s="141"/>
      <c r="D142" s="136" t="s">
        <v>231</v>
      </c>
      <c r="E142" s="128"/>
      <c r="F142" s="128"/>
      <c r="G142" s="128"/>
      <c r="H142" s="128"/>
      <c r="I142" s="128"/>
      <c r="J142" s="128"/>
      <c r="K142" s="129"/>
      <c r="L142" s="2" t="s">
        <v>30</v>
      </c>
      <c r="M142" s="83">
        <v>5</v>
      </c>
      <c r="N142" s="47">
        <f t="shared" si="4"/>
        <v>5</v>
      </c>
      <c r="O142" s="47">
        <f t="shared" si="5"/>
        <v>25</v>
      </c>
      <c r="P142" s="184"/>
      <c r="Q142" s="121"/>
      <c r="R142" s="122"/>
      <c r="S142" s="123"/>
    </row>
    <row r="143" spans="1:19" ht="14.45">
      <c r="A143" s="134"/>
      <c r="B143" s="141"/>
      <c r="C143" s="141"/>
      <c r="D143" s="136" t="s">
        <v>232</v>
      </c>
      <c r="E143" s="128"/>
      <c r="F143" s="128"/>
      <c r="G143" s="128"/>
      <c r="H143" s="128"/>
      <c r="I143" s="128"/>
      <c r="J143" s="128"/>
      <c r="K143" s="129"/>
      <c r="L143" s="2" t="s">
        <v>30</v>
      </c>
      <c r="M143" s="83">
        <v>5</v>
      </c>
      <c r="N143" s="47">
        <f t="shared" si="4"/>
        <v>5</v>
      </c>
      <c r="O143" s="47">
        <f t="shared" si="5"/>
        <v>25</v>
      </c>
      <c r="P143" s="184"/>
      <c r="Q143" s="121"/>
      <c r="R143" s="122"/>
      <c r="S143" s="123"/>
    </row>
    <row r="144" spans="1:19" ht="14.45">
      <c r="A144" s="134"/>
      <c r="B144" s="141"/>
      <c r="C144" s="141"/>
      <c r="D144" s="136" t="s">
        <v>233</v>
      </c>
      <c r="E144" s="128"/>
      <c r="F144" s="128"/>
      <c r="G144" s="128"/>
      <c r="H144" s="128"/>
      <c r="I144" s="128"/>
      <c r="J144" s="128"/>
      <c r="K144" s="129"/>
      <c r="L144" s="2" t="s">
        <v>30</v>
      </c>
      <c r="M144" s="83">
        <v>5</v>
      </c>
      <c r="N144" s="47">
        <f t="shared" si="4"/>
        <v>5</v>
      </c>
      <c r="O144" s="47">
        <f t="shared" si="5"/>
        <v>25</v>
      </c>
      <c r="P144" s="184"/>
      <c r="Q144" s="121"/>
      <c r="R144" s="122"/>
      <c r="S144" s="123"/>
    </row>
    <row r="145" spans="1:19" ht="14.45">
      <c r="A145" s="134"/>
      <c r="B145" s="141"/>
      <c r="C145" s="141"/>
      <c r="D145" s="136" t="s">
        <v>234</v>
      </c>
      <c r="E145" s="128"/>
      <c r="F145" s="128"/>
      <c r="G145" s="128"/>
      <c r="H145" s="128"/>
      <c r="I145" s="128"/>
      <c r="J145" s="128"/>
      <c r="K145" s="129"/>
      <c r="L145" s="2" t="s">
        <v>69</v>
      </c>
      <c r="M145" s="83">
        <v>4</v>
      </c>
      <c r="N145" s="47" t="str">
        <f t="shared" si="4"/>
        <v/>
      </c>
      <c r="O145" s="47" t="str">
        <f t="shared" si="5"/>
        <v/>
      </c>
      <c r="P145" s="184"/>
      <c r="Q145" s="121"/>
      <c r="R145" s="122"/>
      <c r="S145" s="123"/>
    </row>
    <row r="146" spans="1:19" ht="14.45">
      <c r="A146" s="134"/>
      <c r="B146" s="141"/>
      <c r="C146" s="141"/>
      <c r="D146" s="136" t="s">
        <v>235</v>
      </c>
      <c r="E146" s="128"/>
      <c r="F146" s="128"/>
      <c r="G146" s="128"/>
      <c r="H146" s="128"/>
      <c r="I146" s="128"/>
      <c r="J146" s="128"/>
      <c r="K146" s="129"/>
      <c r="L146" s="2" t="s">
        <v>30</v>
      </c>
      <c r="M146" s="83">
        <v>5</v>
      </c>
      <c r="N146" s="47">
        <f t="shared" si="4"/>
        <v>5</v>
      </c>
      <c r="O146" s="47">
        <f t="shared" si="5"/>
        <v>25</v>
      </c>
      <c r="P146" s="184"/>
      <c r="Q146" s="121"/>
      <c r="R146" s="122"/>
      <c r="S146" s="123"/>
    </row>
    <row r="147" spans="1:19" ht="14.45">
      <c r="A147" s="134"/>
      <c r="B147" s="141"/>
      <c r="C147" s="141"/>
      <c r="D147" s="227" t="s">
        <v>236</v>
      </c>
      <c r="E147" s="227"/>
      <c r="F147" s="227"/>
      <c r="G147" s="227"/>
      <c r="H147" s="227"/>
      <c r="I147" s="227"/>
      <c r="J147" s="227"/>
      <c r="K147" s="227"/>
      <c r="L147" s="2" t="s">
        <v>142</v>
      </c>
      <c r="M147" s="83">
        <v>5</v>
      </c>
      <c r="N147" s="47">
        <f t="shared" si="4"/>
        <v>2</v>
      </c>
      <c r="O147" s="47">
        <f t="shared" si="5"/>
        <v>10</v>
      </c>
      <c r="P147" s="184"/>
      <c r="Q147" s="121"/>
      <c r="R147" s="122"/>
      <c r="S147" s="123"/>
    </row>
    <row r="148" spans="1:19" ht="14.45">
      <c r="A148" s="134"/>
      <c r="B148" s="141"/>
      <c r="C148" s="141"/>
      <c r="D148" s="136" t="s">
        <v>237</v>
      </c>
      <c r="E148" s="128"/>
      <c r="F148" s="128"/>
      <c r="G148" s="128"/>
      <c r="H148" s="128"/>
      <c r="I148" s="128"/>
      <c r="J148" s="128"/>
      <c r="K148" s="129"/>
      <c r="L148" s="2" t="s">
        <v>142</v>
      </c>
      <c r="M148" s="83">
        <v>4</v>
      </c>
      <c r="N148" s="47">
        <f t="shared" si="4"/>
        <v>2</v>
      </c>
      <c r="O148" s="47">
        <f t="shared" si="5"/>
        <v>8</v>
      </c>
      <c r="P148" s="184"/>
      <c r="Q148" s="121"/>
      <c r="R148" s="122"/>
      <c r="S148" s="123"/>
    </row>
    <row r="149" spans="1:19" s="72" customFormat="1" ht="44.1" customHeight="1">
      <c r="A149" s="134"/>
      <c r="B149" s="141"/>
      <c r="C149" s="141"/>
      <c r="D149" s="165" t="s">
        <v>238</v>
      </c>
      <c r="E149" s="166"/>
      <c r="F149" s="166"/>
      <c r="G149" s="166"/>
      <c r="H149" s="166"/>
      <c r="I149" s="166"/>
      <c r="J149" s="166"/>
      <c r="K149" s="167"/>
      <c r="L149" s="104" t="s">
        <v>30</v>
      </c>
      <c r="M149" s="83">
        <v>4</v>
      </c>
      <c r="N149" s="47">
        <f t="shared" si="4"/>
        <v>5</v>
      </c>
      <c r="O149" s="47">
        <f t="shared" si="5"/>
        <v>20</v>
      </c>
      <c r="P149" s="184"/>
      <c r="Q149" s="224" t="s">
        <v>239</v>
      </c>
      <c r="R149" s="225"/>
      <c r="S149" s="226"/>
    </row>
    <row r="150" spans="1:19" ht="14.45">
      <c r="A150" s="134"/>
      <c r="B150" s="141"/>
      <c r="C150" s="141"/>
      <c r="D150" s="136" t="s">
        <v>240</v>
      </c>
      <c r="E150" s="128"/>
      <c r="F150" s="128"/>
      <c r="G150" s="128"/>
      <c r="H150" s="128"/>
      <c r="I150" s="128"/>
      <c r="J150" s="128"/>
      <c r="K150" s="129"/>
      <c r="L150" s="2" t="s">
        <v>30</v>
      </c>
      <c r="M150" s="83">
        <v>5</v>
      </c>
      <c r="N150" s="47">
        <f t="shared" si="4"/>
        <v>5</v>
      </c>
      <c r="O150" s="47">
        <f t="shared" si="5"/>
        <v>25</v>
      </c>
      <c r="P150" s="184"/>
      <c r="Q150" s="121"/>
      <c r="R150" s="122"/>
      <c r="S150" s="123"/>
    </row>
    <row r="151" spans="1:19" ht="14.45">
      <c r="A151" s="134"/>
      <c r="B151" s="141"/>
      <c r="C151" s="141"/>
      <c r="D151" s="136" t="s">
        <v>241</v>
      </c>
      <c r="E151" s="128"/>
      <c r="F151" s="128"/>
      <c r="G151" s="128"/>
      <c r="H151" s="128"/>
      <c r="I151" s="128"/>
      <c r="J151" s="128"/>
      <c r="K151" s="129"/>
      <c r="L151" s="2" t="s">
        <v>41</v>
      </c>
      <c r="M151" s="83">
        <v>3</v>
      </c>
      <c r="N151" s="47">
        <f t="shared" si="4"/>
        <v>0</v>
      </c>
      <c r="O151" s="47">
        <f t="shared" si="5"/>
        <v>0</v>
      </c>
      <c r="P151" s="184"/>
      <c r="Q151" s="121"/>
      <c r="R151" s="122"/>
      <c r="S151" s="123"/>
    </row>
    <row r="152" spans="1:19" ht="14.45">
      <c r="A152" s="134"/>
      <c r="B152" s="141"/>
      <c r="C152" s="141"/>
      <c r="D152" s="177" t="s">
        <v>242</v>
      </c>
      <c r="E152" s="178"/>
      <c r="F152" s="178"/>
      <c r="G152" s="178"/>
      <c r="H152" s="178"/>
      <c r="I152" s="178"/>
      <c r="J152" s="178"/>
      <c r="K152" s="179"/>
      <c r="L152" s="2" t="s">
        <v>30</v>
      </c>
      <c r="M152" s="83">
        <v>4</v>
      </c>
      <c r="N152" s="47">
        <f t="shared" si="4"/>
        <v>5</v>
      </c>
      <c r="O152" s="47">
        <f t="shared" si="5"/>
        <v>20</v>
      </c>
      <c r="P152" s="184"/>
      <c r="Q152" s="121"/>
      <c r="R152" s="122"/>
      <c r="S152" s="123"/>
    </row>
    <row r="153" spans="1:19" ht="14.45">
      <c r="A153" s="134"/>
      <c r="B153" s="141"/>
      <c r="C153" s="142"/>
      <c r="D153" s="136" t="s">
        <v>243</v>
      </c>
      <c r="E153" s="128"/>
      <c r="F153" s="128"/>
      <c r="G153" s="128"/>
      <c r="H153" s="128"/>
      <c r="I153" s="128"/>
      <c r="J153" s="128"/>
      <c r="K153" s="129"/>
      <c r="L153" s="2" t="s">
        <v>41</v>
      </c>
      <c r="M153" s="83">
        <v>4</v>
      </c>
      <c r="N153" s="47">
        <f t="shared" si="4"/>
        <v>0</v>
      </c>
      <c r="O153" s="47">
        <f t="shared" si="5"/>
        <v>0</v>
      </c>
      <c r="P153" s="185"/>
      <c r="Q153" s="121"/>
      <c r="R153" s="122"/>
      <c r="S153" s="123"/>
    </row>
    <row r="154" spans="1:19" ht="14.45">
      <c r="A154" s="134"/>
      <c r="B154" s="141"/>
      <c r="C154" s="4"/>
      <c r="D154" s="177"/>
      <c r="E154" s="178"/>
      <c r="F154" s="178"/>
      <c r="G154" s="178"/>
      <c r="H154" s="178"/>
      <c r="I154" s="178"/>
      <c r="J154" s="178"/>
      <c r="K154" s="179"/>
      <c r="L154" s="2"/>
      <c r="M154" s="47"/>
      <c r="N154" s="47" t="str">
        <f t="shared" si="4"/>
        <v/>
      </c>
      <c r="O154" s="47" t="str">
        <f t="shared" si="5"/>
        <v/>
      </c>
      <c r="P154" s="103"/>
      <c r="Q154" s="376"/>
      <c r="R154" s="374"/>
      <c r="S154" s="375"/>
    </row>
    <row r="155" spans="1:19" ht="14.45">
      <c r="A155" s="134"/>
      <c r="B155" s="141"/>
      <c r="C155" s="140" t="s">
        <v>244</v>
      </c>
      <c r="D155" s="177" t="s">
        <v>245</v>
      </c>
      <c r="E155" s="178"/>
      <c r="F155" s="178"/>
      <c r="G155" s="178"/>
      <c r="H155" s="178"/>
      <c r="I155" s="178"/>
      <c r="J155" s="178"/>
      <c r="K155" s="179"/>
      <c r="L155" s="2" t="s">
        <v>30</v>
      </c>
      <c r="M155" s="83">
        <v>5</v>
      </c>
      <c r="N155" s="47">
        <f t="shared" si="4"/>
        <v>5</v>
      </c>
      <c r="O155" s="47">
        <f t="shared" si="5"/>
        <v>25</v>
      </c>
      <c r="P155" s="246">
        <f>IFERROR(AVERAGE(O155:O160),"")</f>
        <v>24.166666666666668</v>
      </c>
      <c r="Q155" s="121"/>
      <c r="R155" s="122"/>
      <c r="S155" s="123"/>
    </row>
    <row r="156" spans="1:19" ht="14.45">
      <c r="A156" s="134"/>
      <c r="B156" s="141"/>
      <c r="C156" s="141"/>
      <c r="D156" s="177" t="s">
        <v>246</v>
      </c>
      <c r="E156" s="178"/>
      <c r="F156" s="178"/>
      <c r="G156" s="178"/>
      <c r="H156" s="178"/>
      <c r="I156" s="178"/>
      <c r="J156" s="178"/>
      <c r="K156" s="179"/>
      <c r="L156" s="2" t="s">
        <v>30</v>
      </c>
      <c r="M156" s="83">
        <v>5</v>
      </c>
      <c r="N156" s="47">
        <f t="shared" si="4"/>
        <v>5</v>
      </c>
      <c r="O156" s="47">
        <f t="shared" si="5"/>
        <v>25</v>
      </c>
      <c r="P156" s="246"/>
      <c r="Q156" s="121"/>
      <c r="R156" s="122"/>
      <c r="S156" s="123"/>
    </row>
    <row r="157" spans="1:19" ht="14.45">
      <c r="A157" s="134"/>
      <c r="B157" s="141"/>
      <c r="C157" s="141"/>
      <c r="D157" s="177" t="s">
        <v>247</v>
      </c>
      <c r="E157" s="178"/>
      <c r="F157" s="178"/>
      <c r="G157" s="178"/>
      <c r="H157" s="178"/>
      <c r="I157" s="178"/>
      <c r="J157" s="178"/>
      <c r="K157" s="179"/>
      <c r="L157" s="2" t="s">
        <v>30</v>
      </c>
      <c r="M157" s="83">
        <v>5</v>
      </c>
      <c r="N157" s="47">
        <f t="shared" si="4"/>
        <v>5</v>
      </c>
      <c r="O157" s="47">
        <f t="shared" si="5"/>
        <v>25</v>
      </c>
      <c r="P157" s="246"/>
      <c r="Q157" s="121"/>
      <c r="R157" s="122"/>
      <c r="S157" s="123"/>
    </row>
    <row r="158" spans="1:19" ht="14.45">
      <c r="A158" s="134"/>
      <c r="B158" s="141"/>
      <c r="C158" s="141"/>
      <c r="D158" s="177" t="s">
        <v>248</v>
      </c>
      <c r="E158" s="178"/>
      <c r="F158" s="178"/>
      <c r="G158" s="178"/>
      <c r="H158" s="178"/>
      <c r="I158" s="178"/>
      <c r="J158" s="178"/>
      <c r="K158" s="179"/>
      <c r="L158" s="2" t="s">
        <v>30</v>
      </c>
      <c r="M158" s="83">
        <v>4</v>
      </c>
      <c r="N158" s="47">
        <f t="shared" si="4"/>
        <v>5</v>
      </c>
      <c r="O158" s="47">
        <f t="shared" si="5"/>
        <v>20</v>
      </c>
      <c r="P158" s="246"/>
      <c r="Q158" s="121"/>
      <c r="R158" s="122"/>
      <c r="S158" s="123"/>
    </row>
    <row r="159" spans="1:19" ht="14.45">
      <c r="A159" s="134"/>
      <c r="B159" s="141"/>
      <c r="C159" s="141"/>
      <c r="D159" s="186" t="s">
        <v>249</v>
      </c>
      <c r="E159" s="122"/>
      <c r="F159" s="122"/>
      <c r="G159" s="122"/>
      <c r="H159" s="122"/>
      <c r="I159" s="122"/>
      <c r="J159" s="122"/>
      <c r="K159" s="123"/>
      <c r="L159" s="2" t="s">
        <v>30</v>
      </c>
      <c r="M159" s="83">
        <v>5</v>
      </c>
      <c r="N159" s="47">
        <f t="shared" si="4"/>
        <v>5</v>
      </c>
      <c r="O159" s="47">
        <f t="shared" si="5"/>
        <v>25</v>
      </c>
      <c r="P159" s="246"/>
      <c r="Q159" s="121"/>
      <c r="R159" s="122"/>
      <c r="S159" s="123"/>
    </row>
    <row r="160" spans="1:19" s="19" customFormat="1" ht="14.45">
      <c r="A160" s="134"/>
      <c r="B160" s="141"/>
      <c r="C160" s="141"/>
      <c r="D160" s="171" t="s">
        <v>250</v>
      </c>
      <c r="E160" s="172"/>
      <c r="F160" s="172"/>
      <c r="G160" s="172"/>
      <c r="H160" s="172"/>
      <c r="I160" s="172"/>
      <c r="J160" s="172"/>
      <c r="K160" s="173"/>
      <c r="L160" s="2" t="s">
        <v>30</v>
      </c>
      <c r="M160" s="83">
        <v>5</v>
      </c>
      <c r="N160" s="47">
        <f t="shared" si="4"/>
        <v>5</v>
      </c>
      <c r="O160" s="47">
        <f t="shared" si="5"/>
        <v>25</v>
      </c>
      <c r="P160" s="246"/>
      <c r="Q160" s="42"/>
      <c r="R160" s="42"/>
      <c r="S160" s="43"/>
    </row>
    <row r="161" spans="1:19" s="19" customFormat="1" ht="14.45">
      <c r="A161" s="134"/>
      <c r="B161" s="141"/>
      <c r="C161" s="142"/>
      <c r="D161" s="382" t="s">
        <v>251</v>
      </c>
      <c r="E161" s="382"/>
      <c r="F161" s="382"/>
      <c r="G161" s="382"/>
      <c r="H161" s="382"/>
      <c r="I161" s="382"/>
      <c r="J161" s="382"/>
      <c r="K161" s="382"/>
      <c r="L161" s="2" t="s">
        <v>30</v>
      </c>
      <c r="M161" s="83">
        <v>4</v>
      </c>
      <c r="N161" s="47">
        <f t="shared" si="4"/>
        <v>5</v>
      </c>
      <c r="O161" s="47">
        <f t="shared" si="5"/>
        <v>20</v>
      </c>
      <c r="P161" s="246"/>
      <c r="Q161" s="42"/>
      <c r="R161" s="42"/>
      <c r="S161" s="43"/>
    </row>
    <row r="162" spans="1:19" s="19" customFormat="1" ht="14.45">
      <c r="A162" s="134"/>
      <c r="B162" s="141"/>
      <c r="C162" s="22"/>
      <c r="D162" s="16"/>
      <c r="E162" s="17"/>
      <c r="F162" s="17"/>
      <c r="G162" s="17"/>
      <c r="H162" s="17"/>
      <c r="I162" s="17"/>
      <c r="J162" s="17"/>
      <c r="K162" s="18"/>
      <c r="L162" s="2"/>
      <c r="M162" s="47"/>
      <c r="N162" s="47" t="str">
        <f t="shared" si="4"/>
        <v/>
      </c>
      <c r="O162" s="47" t="str">
        <f t="shared" si="5"/>
        <v/>
      </c>
      <c r="P162" s="88"/>
      <c r="Q162" s="42"/>
      <c r="R162" s="42"/>
      <c r="S162" s="43"/>
    </row>
    <row r="163" spans="1:19" s="19" customFormat="1" ht="14.45">
      <c r="A163" s="134"/>
      <c r="B163" s="141"/>
      <c r="C163" s="137" t="s">
        <v>252</v>
      </c>
      <c r="D163" s="136" t="s">
        <v>253</v>
      </c>
      <c r="E163" s="128"/>
      <c r="F163" s="128"/>
      <c r="G163" s="128"/>
      <c r="H163" s="128"/>
      <c r="I163" s="128"/>
      <c r="J163" s="128"/>
      <c r="K163" s="129"/>
      <c r="L163" s="2" t="s">
        <v>52</v>
      </c>
      <c r="M163" s="83">
        <v>5</v>
      </c>
      <c r="N163" s="47">
        <f t="shared" si="4"/>
        <v>4</v>
      </c>
      <c r="O163" s="47">
        <f t="shared" si="5"/>
        <v>20</v>
      </c>
      <c r="P163" s="183">
        <f>IFERROR(AVERAGE(O163:O168),"")</f>
        <v>19.333333333333332</v>
      </c>
      <c r="Q163" s="253" t="s">
        <v>254</v>
      </c>
      <c r="R163" s="254"/>
      <c r="S163" s="255"/>
    </row>
    <row r="164" spans="1:19" s="19" customFormat="1" ht="14.45">
      <c r="A164" s="134"/>
      <c r="B164" s="141"/>
      <c r="C164" s="138"/>
      <c r="D164" s="136" t="s">
        <v>255</v>
      </c>
      <c r="E164" s="128"/>
      <c r="F164" s="128"/>
      <c r="G164" s="128"/>
      <c r="H164" s="128"/>
      <c r="I164" s="128"/>
      <c r="J164" s="128"/>
      <c r="K164" s="129"/>
      <c r="L164" s="2" t="s">
        <v>52</v>
      </c>
      <c r="M164" s="83">
        <v>5</v>
      </c>
      <c r="N164" s="47">
        <f t="shared" si="4"/>
        <v>4</v>
      </c>
      <c r="O164" s="47">
        <f t="shared" si="5"/>
        <v>20</v>
      </c>
      <c r="P164" s="184"/>
      <c r="Q164" s="256"/>
      <c r="R164" s="257"/>
      <c r="S164" s="258"/>
    </row>
    <row r="165" spans="1:19" s="19" customFormat="1" ht="14.45">
      <c r="A165" s="134"/>
      <c r="B165" s="141"/>
      <c r="C165" s="138"/>
      <c r="D165" s="136" t="s">
        <v>256</v>
      </c>
      <c r="E165" s="128"/>
      <c r="F165" s="128"/>
      <c r="G165" s="128"/>
      <c r="H165" s="128"/>
      <c r="I165" s="128"/>
      <c r="J165" s="128"/>
      <c r="K165" s="129"/>
      <c r="L165" s="2" t="s">
        <v>52</v>
      </c>
      <c r="M165" s="83">
        <v>5</v>
      </c>
      <c r="N165" s="47">
        <f t="shared" si="4"/>
        <v>4</v>
      </c>
      <c r="O165" s="47">
        <f t="shared" si="5"/>
        <v>20</v>
      </c>
      <c r="P165" s="184"/>
      <c r="Q165" s="256"/>
      <c r="R165" s="257"/>
      <c r="S165" s="258"/>
    </row>
    <row r="166" spans="1:19" s="19" customFormat="1" ht="14.45">
      <c r="A166" s="134"/>
      <c r="B166" s="141"/>
      <c r="C166" s="138"/>
      <c r="D166" s="136" t="s">
        <v>257</v>
      </c>
      <c r="E166" s="128"/>
      <c r="F166" s="128"/>
      <c r="G166" s="128"/>
      <c r="H166" s="128"/>
      <c r="I166" s="128"/>
      <c r="J166" s="128"/>
      <c r="K166" s="129"/>
      <c r="L166" s="2" t="s">
        <v>52</v>
      </c>
      <c r="M166" s="83">
        <v>5</v>
      </c>
      <c r="N166" s="47">
        <f t="shared" si="4"/>
        <v>4</v>
      </c>
      <c r="O166" s="47">
        <f t="shared" si="5"/>
        <v>20</v>
      </c>
      <c r="P166" s="184"/>
      <c r="Q166" s="256"/>
      <c r="R166" s="257"/>
      <c r="S166" s="258"/>
    </row>
    <row r="167" spans="1:19" s="19" customFormat="1" ht="14.45">
      <c r="A167" s="134"/>
      <c r="B167" s="141"/>
      <c r="C167" s="138"/>
      <c r="D167" s="136" t="s">
        <v>258</v>
      </c>
      <c r="E167" s="128"/>
      <c r="F167" s="128"/>
      <c r="G167" s="128"/>
      <c r="H167" s="128"/>
      <c r="I167" s="128"/>
      <c r="J167" s="128"/>
      <c r="K167" s="129"/>
      <c r="L167" s="2" t="s">
        <v>52</v>
      </c>
      <c r="M167" s="83">
        <v>4</v>
      </c>
      <c r="N167" s="47">
        <f t="shared" si="4"/>
        <v>4</v>
      </c>
      <c r="O167" s="47">
        <f t="shared" si="5"/>
        <v>16</v>
      </c>
      <c r="P167" s="184"/>
      <c r="Q167" s="256"/>
      <c r="R167" s="257"/>
      <c r="S167" s="258"/>
    </row>
    <row r="168" spans="1:19" s="19" customFormat="1" ht="14.45">
      <c r="A168" s="135"/>
      <c r="B168" s="142"/>
      <c r="C168" s="139"/>
      <c r="D168" s="187" t="s">
        <v>259</v>
      </c>
      <c r="E168" s="187"/>
      <c r="F168" s="187"/>
      <c r="G168" s="187"/>
      <c r="H168" s="187"/>
      <c r="I168" s="187"/>
      <c r="J168" s="187"/>
      <c r="K168" s="187"/>
      <c r="L168" s="2" t="s">
        <v>52</v>
      </c>
      <c r="M168" s="83">
        <v>5</v>
      </c>
      <c r="N168" s="47">
        <f t="shared" si="4"/>
        <v>4</v>
      </c>
      <c r="O168" s="47">
        <f t="shared" si="5"/>
        <v>20</v>
      </c>
      <c r="P168" s="185"/>
      <c r="Q168" s="259"/>
      <c r="R168" s="260"/>
      <c r="S168" s="261"/>
    </row>
    <row r="169" spans="1:19" s="19" customFormat="1" ht="14.45">
      <c r="A169" s="60"/>
      <c r="B169" s="22"/>
      <c r="C169" s="23"/>
      <c r="D169" s="188"/>
      <c r="E169" s="188"/>
      <c r="F169" s="188"/>
      <c r="G169" s="188"/>
      <c r="H169" s="188"/>
      <c r="I169" s="188"/>
      <c r="J169" s="188"/>
      <c r="K169" s="189"/>
      <c r="L169" s="2"/>
      <c r="M169" s="47"/>
      <c r="N169" s="47" t="str">
        <f t="shared" si="4"/>
        <v/>
      </c>
      <c r="O169" s="47" t="str">
        <f t="shared" si="5"/>
        <v/>
      </c>
      <c r="P169" s="54"/>
      <c r="Q169" s="42"/>
      <c r="R169" s="42"/>
      <c r="S169" s="43"/>
    </row>
    <row r="170" spans="1:19" s="19" customFormat="1" ht="14.45">
      <c r="A170" s="60">
        <v>10</v>
      </c>
      <c r="B170" s="22"/>
      <c r="C170" s="93" t="s">
        <v>260</v>
      </c>
      <c r="D170" s="247" t="s">
        <v>261</v>
      </c>
      <c r="E170" s="248"/>
      <c r="F170" s="248"/>
      <c r="G170" s="248"/>
      <c r="H170" s="248"/>
      <c r="I170" s="248"/>
      <c r="J170" s="248"/>
      <c r="K170" s="249"/>
      <c r="L170" s="2" t="s">
        <v>69</v>
      </c>
      <c r="M170" s="83">
        <v>4</v>
      </c>
      <c r="N170" s="47" t="str">
        <f t="shared" si="4"/>
        <v/>
      </c>
      <c r="O170" s="47" t="str">
        <f t="shared" si="5"/>
        <v/>
      </c>
      <c r="P170" s="54" t="str">
        <f>IFERROR(AVERAGE(O170),"")</f>
        <v/>
      </c>
      <c r="Q170" s="42"/>
      <c r="R170" s="42"/>
      <c r="S170" s="43"/>
    </row>
    <row r="171" spans="1:19" s="19" customFormat="1" ht="14.45">
      <c r="A171" s="94"/>
      <c r="B171" s="95"/>
      <c r="C171" s="96"/>
      <c r="D171" s="90"/>
      <c r="E171" s="91"/>
      <c r="F171" s="91"/>
      <c r="G171" s="91"/>
      <c r="H171" s="91"/>
      <c r="I171" s="91"/>
      <c r="J171" s="91"/>
      <c r="K171" s="92"/>
      <c r="L171" s="2"/>
      <c r="M171" s="83"/>
      <c r="N171" s="47"/>
      <c r="O171" s="47"/>
      <c r="P171" s="54"/>
      <c r="Q171" s="42"/>
      <c r="R171" s="42"/>
      <c r="S171" s="43"/>
    </row>
    <row r="172" spans="1:19" ht="14.45">
      <c r="A172" s="146">
        <v>11</v>
      </c>
      <c r="B172" s="148" t="s">
        <v>262</v>
      </c>
      <c r="C172" s="180" t="s">
        <v>263</v>
      </c>
      <c r="D172" s="136"/>
      <c r="E172" s="128"/>
      <c r="F172" s="128"/>
      <c r="G172" s="128"/>
      <c r="H172" s="128"/>
      <c r="I172" s="128"/>
      <c r="J172" s="128"/>
      <c r="K172" s="129"/>
      <c r="L172" s="2"/>
      <c r="M172" s="47"/>
      <c r="N172" s="47" t="str">
        <f t="shared" si="4"/>
        <v/>
      </c>
      <c r="O172" s="47" t="str">
        <f t="shared" si="5"/>
        <v/>
      </c>
      <c r="P172" s="54"/>
      <c r="Q172" s="376"/>
      <c r="R172" s="374"/>
      <c r="S172" s="375"/>
    </row>
    <row r="173" spans="1:19" ht="14.45">
      <c r="A173" s="147"/>
      <c r="B173" s="149"/>
      <c r="C173" s="181"/>
      <c r="D173" s="381" t="s">
        <v>264</v>
      </c>
      <c r="E173" s="374"/>
      <c r="F173" s="374"/>
      <c r="G173" s="374"/>
      <c r="H173" s="374"/>
      <c r="I173" s="374"/>
      <c r="J173" s="374"/>
      <c r="K173" s="375"/>
      <c r="L173" s="2" t="s">
        <v>52</v>
      </c>
      <c r="M173" s="83">
        <v>5</v>
      </c>
      <c r="N173" s="47">
        <f t="shared" si="4"/>
        <v>4</v>
      </c>
      <c r="O173" s="47">
        <f t="shared" si="5"/>
        <v>20</v>
      </c>
      <c r="P173" s="183">
        <f>IFERROR(AVERAGE(O173:O177),"")</f>
        <v>16</v>
      </c>
      <c r="Q173" s="121"/>
      <c r="R173" s="122"/>
      <c r="S173" s="123"/>
    </row>
    <row r="174" spans="1:19" ht="14.45">
      <c r="A174" s="147"/>
      <c r="B174" s="149"/>
      <c r="C174" s="181"/>
      <c r="D174" s="136" t="s">
        <v>265</v>
      </c>
      <c r="E174" s="128"/>
      <c r="F174" s="128"/>
      <c r="G174" s="128"/>
      <c r="H174" s="128"/>
      <c r="I174" s="128"/>
      <c r="J174" s="128"/>
      <c r="K174" s="129"/>
      <c r="L174" s="2" t="s">
        <v>41</v>
      </c>
      <c r="M174" s="83">
        <v>5</v>
      </c>
      <c r="N174" s="47">
        <f t="shared" si="4"/>
        <v>0</v>
      </c>
      <c r="O174" s="47">
        <f t="shared" si="5"/>
        <v>0</v>
      </c>
      <c r="P174" s="184"/>
      <c r="Q174" s="121"/>
      <c r="R174" s="122"/>
      <c r="S174" s="123"/>
    </row>
    <row r="175" spans="1:19" ht="14.45">
      <c r="A175" s="147"/>
      <c r="B175" s="149"/>
      <c r="C175" s="181"/>
      <c r="D175" s="381" t="s">
        <v>266</v>
      </c>
      <c r="E175" s="374"/>
      <c r="F175" s="374"/>
      <c r="G175" s="374"/>
      <c r="H175" s="374"/>
      <c r="I175" s="374"/>
      <c r="J175" s="374"/>
      <c r="K175" s="375"/>
      <c r="L175" s="2" t="s">
        <v>52</v>
      </c>
      <c r="M175" s="83">
        <v>5</v>
      </c>
      <c r="N175" s="47">
        <f t="shared" si="4"/>
        <v>4</v>
      </c>
      <c r="O175" s="47">
        <f t="shared" si="5"/>
        <v>20</v>
      </c>
      <c r="P175" s="184"/>
      <c r="Q175" s="121"/>
      <c r="R175" s="122"/>
      <c r="S175" s="123"/>
    </row>
    <row r="176" spans="1:19" ht="14.45">
      <c r="A176" s="147"/>
      <c r="B176" s="149"/>
      <c r="C176" s="181"/>
      <c r="D176" s="381" t="s">
        <v>267</v>
      </c>
      <c r="E176" s="374"/>
      <c r="F176" s="374"/>
      <c r="G176" s="374"/>
      <c r="H176" s="374"/>
      <c r="I176" s="374"/>
      <c r="J176" s="374"/>
      <c r="K176" s="375"/>
      <c r="L176" s="2" t="s">
        <v>52</v>
      </c>
      <c r="M176" s="83">
        <v>5</v>
      </c>
      <c r="N176" s="47">
        <f t="shared" si="4"/>
        <v>4</v>
      </c>
      <c r="O176" s="47">
        <f t="shared" si="5"/>
        <v>20</v>
      </c>
      <c r="P176" s="184"/>
      <c r="Q176" s="121"/>
      <c r="R176" s="122"/>
      <c r="S176" s="123"/>
    </row>
    <row r="177" spans="1:19" ht="14.45">
      <c r="A177" s="147"/>
      <c r="B177" s="150"/>
      <c r="C177" s="182"/>
      <c r="D177" s="136" t="s">
        <v>268</v>
      </c>
      <c r="E177" s="128"/>
      <c r="F177" s="128"/>
      <c r="G177" s="128"/>
      <c r="H177" s="128"/>
      <c r="I177" s="128"/>
      <c r="J177" s="128"/>
      <c r="K177" s="129"/>
      <c r="L177" s="2" t="s">
        <v>52</v>
      </c>
      <c r="M177" s="83">
        <v>5</v>
      </c>
      <c r="N177" s="47">
        <f t="shared" si="4"/>
        <v>4</v>
      </c>
      <c r="O177" s="47">
        <f t="shared" si="5"/>
        <v>20</v>
      </c>
      <c r="P177" s="185"/>
      <c r="Q177" s="121"/>
      <c r="R177" s="122"/>
      <c r="S177" s="123"/>
    </row>
    <row r="178" spans="1:19" ht="14.45">
      <c r="A178" s="98"/>
      <c r="B178" s="99"/>
      <c r="C178" s="97"/>
      <c r="D178" s="186"/>
      <c r="E178" s="122"/>
      <c r="F178" s="122"/>
      <c r="G178" s="122"/>
      <c r="H178" s="122"/>
      <c r="I178" s="122"/>
      <c r="J178" s="122"/>
      <c r="K178" s="123"/>
      <c r="L178" s="2"/>
      <c r="M178" s="47"/>
      <c r="N178" s="47" t="str">
        <f t="shared" si="4"/>
        <v/>
      </c>
      <c r="O178" s="47" t="str">
        <f t="shared" si="5"/>
        <v/>
      </c>
      <c r="P178" s="54"/>
      <c r="Q178" s="121"/>
      <c r="R178" s="122"/>
      <c r="S178" s="123"/>
    </row>
    <row r="179" spans="1:19" ht="14.45">
      <c r="A179" s="151">
        <v>12</v>
      </c>
      <c r="B179" s="148" t="s">
        <v>269</v>
      </c>
      <c r="C179" s="180" t="s">
        <v>270</v>
      </c>
      <c r="D179" s="381" t="s">
        <v>271</v>
      </c>
      <c r="E179" s="374"/>
      <c r="F179" s="374"/>
      <c r="G179" s="374"/>
      <c r="H179" s="374"/>
      <c r="I179" s="374"/>
      <c r="J179" s="374"/>
      <c r="K179" s="375"/>
      <c r="L179" s="2" t="s">
        <v>30</v>
      </c>
      <c r="M179" s="83">
        <v>5</v>
      </c>
      <c r="N179" s="47">
        <f t="shared" si="4"/>
        <v>5</v>
      </c>
      <c r="O179" s="47">
        <f t="shared" si="5"/>
        <v>25</v>
      </c>
      <c r="P179" s="183">
        <f>IFERROR(AVERAGE(O179:O184),"")</f>
        <v>21.666666666666668</v>
      </c>
      <c r="Q179" s="121"/>
      <c r="R179" s="122"/>
      <c r="S179" s="123"/>
    </row>
    <row r="180" spans="1:19" ht="14.45">
      <c r="A180" s="147"/>
      <c r="B180" s="149"/>
      <c r="C180" s="181"/>
      <c r="D180" s="136" t="s">
        <v>272</v>
      </c>
      <c r="E180" s="128"/>
      <c r="F180" s="128"/>
      <c r="G180" s="128"/>
      <c r="H180" s="128"/>
      <c r="I180" s="128"/>
      <c r="J180" s="128"/>
      <c r="K180" s="129"/>
      <c r="L180" s="2" t="s">
        <v>30</v>
      </c>
      <c r="M180" s="83">
        <v>5</v>
      </c>
      <c r="N180" s="47">
        <f t="shared" si="4"/>
        <v>5</v>
      </c>
      <c r="O180" s="47">
        <f t="shared" si="5"/>
        <v>25</v>
      </c>
      <c r="P180" s="184"/>
      <c r="Q180" s="121"/>
      <c r="R180" s="122"/>
      <c r="S180" s="123"/>
    </row>
    <row r="181" spans="1:19" ht="14.45">
      <c r="A181" s="147"/>
      <c r="B181" s="149"/>
      <c r="C181" s="181"/>
      <c r="D181" s="136" t="s">
        <v>273</v>
      </c>
      <c r="E181" s="128"/>
      <c r="F181" s="128"/>
      <c r="G181" s="128"/>
      <c r="H181" s="128"/>
      <c r="I181" s="128"/>
      <c r="J181" s="128"/>
      <c r="K181" s="129"/>
      <c r="L181" s="2" t="s">
        <v>30</v>
      </c>
      <c r="M181" s="83">
        <v>5</v>
      </c>
      <c r="N181" s="47">
        <f t="shared" si="4"/>
        <v>5</v>
      </c>
      <c r="O181" s="47">
        <f t="shared" si="5"/>
        <v>25</v>
      </c>
      <c r="P181" s="184"/>
      <c r="Q181" s="121"/>
      <c r="R181" s="122"/>
      <c r="S181" s="123"/>
    </row>
    <row r="182" spans="1:19" ht="14.45">
      <c r="A182" s="147"/>
      <c r="B182" s="149"/>
      <c r="C182" s="181"/>
      <c r="D182" s="381" t="s">
        <v>274</v>
      </c>
      <c r="E182" s="374"/>
      <c r="F182" s="374"/>
      <c r="G182" s="374"/>
      <c r="H182" s="374"/>
      <c r="I182" s="374"/>
      <c r="J182" s="374"/>
      <c r="K182" s="375"/>
      <c r="L182" s="2" t="s">
        <v>30</v>
      </c>
      <c r="M182" s="83">
        <v>4</v>
      </c>
      <c r="N182" s="47">
        <f t="shared" si="4"/>
        <v>5</v>
      </c>
      <c r="O182" s="47">
        <f t="shared" si="5"/>
        <v>20</v>
      </c>
      <c r="P182" s="184"/>
      <c r="Q182" s="376"/>
      <c r="R182" s="374"/>
      <c r="S182" s="375"/>
    </row>
    <row r="183" spans="1:19" ht="14.45">
      <c r="A183" s="147"/>
      <c r="B183" s="149"/>
      <c r="C183" s="181"/>
      <c r="D183" s="136" t="s">
        <v>275</v>
      </c>
      <c r="E183" s="128"/>
      <c r="F183" s="128"/>
      <c r="G183" s="128"/>
      <c r="H183" s="128"/>
      <c r="I183" s="128"/>
      <c r="J183" s="128"/>
      <c r="K183" s="129"/>
      <c r="L183" s="2" t="s">
        <v>30</v>
      </c>
      <c r="M183" s="83">
        <v>4</v>
      </c>
      <c r="N183" s="47">
        <f t="shared" si="4"/>
        <v>5</v>
      </c>
      <c r="O183" s="47">
        <f t="shared" si="5"/>
        <v>20</v>
      </c>
      <c r="P183" s="184"/>
      <c r="Q183" s="121"/>
      <c r="R183" s="122"/>
      <c r="S183" s="123"/>
    </row>
    <row r="184" spans="1:19" ht="14.45">
      <c r="A184" s="147"/>
      <c r="B184" s="149"/>
      <c r="C184" s="182"/>
      <c r="D184" s="381" t="s">
        <v>276</v>
      </c>
      <c r="E184" s="374"/>
      <c r="F184" s="374"/>
      <c r="G184" s="374"/>
      <c r="H184" s="374"/>
      <c r="I184" s="374"/>
      <c r="J184" s="374"/>
      <c r="K184" s="375"/>
      <c r="L184" s="2" t="s">
        <v>30</v>
      </c>
      <c r="M184" s="83">
        <v>3</v>
      </c>
      <c r="N184" s="47">
        <f t="shared" si="4"/>
        <v>5</v>
      </c>
      <c r="O184" s="47">
        <f t="shared" si="5"/>
        <v>15</v>
      </c>
      <c r="P184" s="185"/>
      <c r="Q184" s="376"/>
      <c r="R184" s="374"/>
      <c r="S184" s="375"/>
    </row>
    <row r="185" spans="1:19" ht="14.45">
      <c r="A185" s="147"/>
      <c r="B185" s="149"/>
      <c r="C185" s="97"/>
      <c r="D185" s="186"/>
      <c r="E185" s="122"/>
      <c r="F185" s="122"/>
      <c r="G185" s="122"/>
      <c r="H185" s="122"/>
      <c r="I185" s="122"/>
      <c r="J185" s="122"/>
      <c r="K185" s="123"/>
      <c r="L185" s="2"/>
      <c r="M185" s="47"/>
      <c r="N185" s="47" t="str">
        <f t="shared" si="4"/>
        <v/>
      </c>
      <c r="O185" s="47" t="str">
        <f t="shared" si="5"/>
        <v/>
      </c>
      <c r="P185" s="54"/>
      <c r="Q185" s="121"/>
      <c r="R185" s="122"/>
      <c r="S185" s="123"/>
    </row>
    <row r="186" spans="1:19" ht="14.45">
      <c r="A186" s="147"/>
      <c r="B186" s="149"/>
      <c r="C186" s="180" t="s">
        <v>277</v>
      </c>
      <c r="D186" s="381" t="s">
        <v>278</v>
      </c>
      <c r="E186" s="374"/>
      <c r="F186" s="374"/>
      <c r="G186" s="374"/>
      <c r="H186" s="374"/>
      <c r="I186" s="374"/>
      <c r="J186" s="374"/>
      <c r="K186" s="375"/>
      <c r="L186" s="2" t="s">
        <v>30</v>
      </c>
      <c r="M186" s="83">
        <v>5</v>
      </c>
      <c r="N186" s="47">
        <f t="shared" si="4"/>
        <v>5</v>
      </c>
      <c r="O186" s="47">
        <f t="shared" si="5"/>
        <v>25</v>
      </c>
      <c r="P186" s="183">
        <f>IFERROR(AVERAGE(O186:O191),"")</f>
        <v>23.333333333333332</v>
      </c>
      <c r="Q186" s="121"/>
      <c r="R186" s="122"/>
      <c r="S186" s="123"/>
    </row>
    <row r="187" spans="1:19" ht="14.45">
      <c r="A187" s="147"/>
      <c r="B187" s="149"/>
      <c r="C187" s="181"/>
      <c r="D187" s="381" t="s">
        <v>279</v>
      </c>
      <c r="E187" s="374"/>
      <c r="F187" s="374"/>
      <c r="G187" s="374"/>
      <c r="H187" s="374"/>
      <c r="I187" s="374"/>
      <c r="J187" s="374"/>
      <c r="K187" s="375"/>
      <c r="L187" s="2" t="s">
        <v>30</v>
      </c>
      <c r="M187" s="83">
        <v>5</v>
      </c>
      <c r="N187" s="47">
        <f t="shared" si="4"/>
        <v>5</v>
      </c>
      <c r="O187" s="47">
        <f t="shared" si="5"/>
        <v>25</v>
      </c>
      <c r="P187" s="184"/>
      <c r="Q187" s="121"/>
      <c r="R187" s="122"/>
      <c r="S187" s="123"/>
    </row>
    <row r="188" spans="1:19" ht="14.45">
      <c r="A188" s="147"/>
      <c r="B188" s="149"/>
      <c r="C188" s="181"/>
      <c r="D188" s="381" t="s">
        <v>280</v>
      </c>
      <c r="E188" s="374"/>
      <c r="F188" s="374"/>
      <c r="G188" s="374"/>
      <c r="H188" s="374"/>
      <c r="I188" s="374"/>
      <c r="J188" s="374"/>
      <c r="K188" s="375"/>
      <c r="L188" s="2" t="s">
        <v>30</v>
      </c>
      <c r="M188" s="83">
        <v>4</v>
      </c>
      <c r="N188" s="47">
        <f t="shared" si="4"/>
        <v>5</v>
      </c>
      <c r="O188" s="47">
        <f t="shared" si="5"/>
        <v>20</v>
      </c>
      <c r="P188" s="184"/>
      <c r="Q188" s="121"/>
      <c r="R188" s="122"/>
      <c r="S188" s="123"/>
    </row>
    <row r="189" spans="1:19" ht="14.45">
      <c r="A189" s="147"/>
      <c r="B189" s="149"/>
      <c r="C189" s="181"/>
      <c r="D189" s="136" t="s">
        <v>281</v>
      </c>
      <c r="E189" s="128"/>
      <c r="F189" s="128"/>
      <c r="G189" s="128"/>
      <c r="H189" s="128"/>
      <c r="I189" s="128"/>
      <c r="J189" s="128"/>
      <c r="K189" s="129"/>
      <c r="L189" s="2" t="s">
        <v>30</v>
      </c>
      <c r="M189" s="83">
        <v>4</v>
      </c>
      <c r="N189" s="47">
        <f t="shared" si="4"/>
        <v>5</v>
      </c>
      <c r="O189" s="47">
        <f t="shared" si="5"/>
        <v>20</v>
      </c>
      <c r="P189" s="184"/>
      <c r="Q189" s="121"/>
      <c r="R189" s="122"/>
      <c r="S189" s="123"/>
    </row>
    <row r="190" spans="1:19" ht="14.45">
      <c r="A190" s="147"/>
      <c r="B190" s="149"/>
      <c r="C190" s="181"/>
      <c r="D190" s="136" t="s">
        <v>282</v>
      </c>
      <c r="E190" s="128"/>
      <c r="F190" s="128"/>
      <c r="G190" s="128"/>
      <c r="H190" s="128"/>
      <c r="I190" s="128"/>
      <c r="J190" s="128"/>
      <c r="K190" s="129"/>
      <c r="L190" s="2" t="s">
        <v>30</v>
      </c>
      <c r="M190" s="83">
        <v>5</v>
      </c>
      <c r="N190" s="47">
        <f t="shared" si="4"/>
        <v>5</v>
      </c>
      <c r="O190" s="47">
        <f t="shared" si="5"/>
        <v>25</v>
      </c>
      <c r="P190" s="184"/>
      <c r="Q190" s="376"/>
      <c r="R190" s="374"/>
      <c r="S190" s="375"/>
    </row>
    <row r="191" spans="1:19" ht="14.45">
      <c r="A191" s="152"/>
      <c r="B191" s="150"/>
      <c r="C191" s="182"/>
      <c r="D191" s="136" t="s">
        <v>283</v>
      </c>
      <c r="E191" s="128"/>
      <c r="F191" s="128"/>
      <c r="G191" s="128"/>
      <c r="H191" s="128"/>
      <c r="I191" s="128"/>
      <c r="J191" s="128"/>
      <c r="K191" s="129"/>
      <c r="L191" s="2" t="s">
        <v>30</v>
      </c>
      <c r="M191" s="83">
        <v>5</v>
      </c>
      <c r="N191" s="47">
        <f t="shared" si="4"/>
        <v>5</v>
      </c>
      <c r="O191" s="47">
        <f t="shared" si="5"/>
        <v>25</v>
      </c>
      <c r="P191" s="185"/>
      <c r="Q191" s="376"/>
      <c r="R191" s="374"/>
      <c r="S191" s="375"/>
    </row>
    <row r="192" spans="1:19" ht="14.45">
      <c r="A192" s="59"/>
      <c r="B192" s="26"/>
      <c r="C192" s="13"/>
      <c r="D192" s="177"/>
      <c r="E192" s="178"/>
      <c r="F192" s="178"/>
      <c r="G192" s="178"/>
      <c r="H192" s="178"/>
      <c r="I192" s="178"/>
      <c r="J192" s="178"/>
      <c r="K192" s="179"/>
      <c r="L192" s="2"/>
      <c r="M192" s="47"/>
      <c r="N192" s="47" t="str">
        <f t="shared" si="4"/>
        <v/>
      </c>
      <c r="O192" s="47" t="str">
        <f t="shared" si="5"/>
        <v/>
      </c>
      <c r="P192" s="54"/>
      <c r="Q192" s="376"/>
      <c r="R192" s="374"/>
      <c r="S192" s="375"/>
    </row>
    <row r="193" spans="1:19" ht="14.45">
      <c r="A193" s="133">
        <v>13</v>
      </c>
      <c r="B193" s="140" t="s">
        <v>284</v>
      </c>
      <c r="C193" s="140" t="s">
        <v>285</v>
      </c>
      <c r="D193" s="136" t="s">
        <v>286</v>
      </c>
      <c r="E193" s="128"/>
      <c r="F193" s="128"/>
      <c r="G193" s="128"/>
      <c r="H193" s="128"/>
      <c r="I193" s="128"/>
      <c r="J193" s="128"/>
      <c r="K193" s="129"/>
      <c r="L193" s="2" t="s">
        <v>30</v>
      </c>
      <c r="M193" s="83">
        <v>5</v>
      </c>
      <c r="N193" s="47">
        <f t="shared" si="4"/>
        <v>5</v>
      </c>
      <c r="O193" s="47">
        <f t="shared" si="5"/>
        <v>25</v>
      </c>
      <c r="P193" s="183">
        <f>IFERROR(AVERAGE(O193:O197),"")</f>
        <v>24</v>
      </c>
      <c r="Q193" s="376"/>
      <c r="R193" s="374"/>
      <c r="S193" s="375"/>
    </row>
    <row r="194" spans="1:19" ht="14.45">
      <c r="A194" s="134"/>
      <c r="B194" s="141"/>
      <c r="C194" s="141"/>
      <c r="D194" s="136" t="s">
        <v>287</v>
      </c>
      <c r="E194" s="128"/>
      <c r="F194" s="128"/>
      <c r="G194" s="128"/>
      <c r="H194" s="128"/>
      <c r="I194" s="128"/>
      <c r="J194" s="128"/>
      <c r="K194" s="129"/>
      <c r="L194" s="2" t="s">
        <v>30</v>
      </c>
      <c r="M194" s="83">
        <v>5</v>
      </c>
      <c r="N194" s="47">
        <f t="shared" si="4"/>
        <v>5</v>
      </c>
      <c r="O194" s="47">
        <f t="shared" si="5"/>
        <v>25</v>
      </c>
      <c r="P194" s="184"/>
      <c r="Q194" s="121"/>
      <c r="R194" s="122"/>
      <c r="S194" s="123"/>
    </row>
    <row r="195" spans="1:19" ht="14.45">
      <c r="A195" s="134"/>
      <c r="B195" s="141"/>
      <c r="C195" s="141"/>
      <c r="D195" s="136" t="s">
        <v>288</v>
      </c>
      <c r="E195" s="128"/>
      <c r="F195" s="128"/>
      <c r="G195" s="128"/>
      <c r="H195" s="128"/>
      <c r="I195" s="128"/>
      <c r="J195" s="128"/>
      <c r="K195" s="129"/>
      <c r="L195" s="2" t="s">
        <v>30</v>
      </c>
      <c r="M195" s="83">
        <v>5</v>
      </c>
      <c r="N195" s="47">
        <f t="shared" si="4"/>
        <v>5</v>
      </c>
      <c r="O195" s="47">
        <f t="shared" si="5"/>
        <v>25</v>
      </c>
      <c r="P195" s="184"/>
      <c r="Q195" s="376"/>
      <c r="R195" s="374"/>
      <c r="S195" s="375"/>
    </row>
    <row r="196" spans="1:19" ht="14.45">
      <c r="A196" s="134"/>
      <c r="B196" s="141"/>
      <c r="C196" s="141"/>
      <c r="D196" s="136" t="s">
        <v>289</v>
      </c>
      <c r="E196" s="128"/>
      <c r="F196" s="128"/>
      <c r="G196" s="128"/>
      <c r="H196" s="128"/>
      <c r="I196" s="128"/>
      <c r="J196" s="128"/>
      <c r="K196" s="129"/>
      <c r="L196" s="2" t="s">
        <v>30</v>
      </c>
      <c r="M196" s="83">
        <v>4</v>
      </c>
      <c r="N196" s="47">
        <f t="shared" si="4"/>
        <v>5</v>
      </c>
      <c r="O196" s="47">
        <f t="shared" si="5"/>
        <v>20</v>
      </c>
      <c r="P196" s="184"/>
      <c r="Q196" s="121"/>
      <c r="R196" s="122"/>
      <c r="S196" s="123"/>
    </row>
    <row r="197" spans="1:19" ht="14.45">
      <c r="A197" s="135"/>
      <c r="B197" s="142"/>
      <c r="C197" s="142"/>
      <c r="D197" s="136" t="s">
        <v>55</v>
      </c>
      <c r="E197" s="128"/>
      <c r="F197" s="128"/>
      <c r="G197" s="128"/>
      <c r="H197" s="128"/>
      <c r="I197" s="128"/>
      <c r="J197" s="128"/>
      <c r="K197" s="129"/>
      <c r="L197" s="2" t="s">
        <v>30</v>
      </c>
      <c r="M197" s="83">
        <v>5</v>
      </c>
      <c r="N197" s="47">
        <f t="shared" ref="N197:N260" si="6">IF(L197="NA","",
IF(L197="Yes",5,
IF(L197="Partial",4,
IF(L197="In Progress",3,
IF(L197="Not clarified",2,
IF(L197="No",0,""))))))</f>
        <v>5</v>
      </c>
      <c r="O197" s="47">
        <f t="shared" ref="O197:O260" si="7">IF(N197="","",N197*M197)</f>
        <v>25</v>
      </c>
      <c r="P197" s="185"/>
      <c r="Q197" s="376"/>
      <c r="R197" s="374"/>
      <c r="S197" s="375"/>
    </row>
    <row r="198" spans="1:19" ht="14.45">
      <c r="A198" s="59"/>
      <c r="B198" s="4"/>
      <c r="C198" s="4"/>
      <c r="D198" s="186"/>
      <c r="E198" s="122"/>
      <c r="F198" s="122"/>
      <c r="G198" s="122"/>
      <c r="H198" s="122"/>
      <c r="I198" s="122"/>
      <c r="J198" s="122"/>
      <c r="K198" s="123"/>
      <c r="L198" s="2"/>
      <c r="M198" s="47"/>
      <c r="N198" s="47" t="str">
        <f t="shared" si="6"/>
        <v/>
      </c>
      <c r="O198" s="47" t="str">
        <f t="shared" si="7"/>
        <v/>
      </c>
      <c r="P198" s="54"/>
      <c r="Q198" s="121"/>
      <c r="R198" s="122"/>
      <c r="S198" s="123"/>
    </row>
    <row r="199" spans="1:19" ht="14.45">
      <c r="A199" s="133">
        <v>14</v>
      </c>
      <c r="B199" s="140" t="s">
        <v>290</v>
      </c>
      <c r="C199" s="140" t="s">
        <v>291</v>
      </c>
      <c r="D199" s="136" t="s">
        <v>292</v>
      </c>
      <c r="E199" s="128"/>
      <c r="F199" s="128"/>
      <c r="G199" s="128"/>
      <c r="H199" s="128"/>
      <c r="I199" s="128"/>
      <c r="J199" s="128"/>
      <c r="K199" s="129"/>
      <c r="L199" s="2" t="s">
        <v>30</v>
      </c>
      <c r="M199" s="83">
        <v>5</v>
      </c>
      <c r="N199" s="47">
        <f t="shared" si="6"/>
        <v>5</v>
      </c>
      <c r="O199" s="47">
        <f t="shared" si="7"/>
        <v>25</v>
      </c>
      <c r="P199" s="183">
        <f>IFERROR(AVERAGE(O199:O205),"")</f>
        <v>16.428571428571427</v>
      </c>
      <c r="Q199" s="376" t="s">
        <v>293</v>
      </c>
      <c r="R199" s="374"/>
      <c r="S199" s="375"/>
    </row>
    <row r="200" spans="1:19" ht="14.45">
      <c r="A200" s="134"/>
      <c r="B200" s="141"/>
      <c r="C200" s="141"/>
      <c r="D200" s="136" t="s">
        <v>294</v>
      </c>
      <c r="E200" s="128"/>
      <c r="F200" s="128"/>
      <c r="G200" s="128"/>
      <c r="H200" s="128"/>
      <c r="I200" s="128"/>
      <c r="J200" s="128"/>
      <c r="K200" s="129"/>
      <c r="L200" s="2" t="s">
        <v>30</v>
      </c>
      <c r="M200" s="83">
        <v>5</v>
      </c>
      <c r="N200" s="47">
        <f t="shared" si="6"/>
        <v>5</v>
      </c>
      <c r="O200" s="47">
        <f t="shared" si="7"/>
        <v>25</v>
      </c>
      <c r="P200" s="184"/>
      <c r="Q200" s="127" t="s">
        <v>295</v>
      </c>
      <c r="R200" s="128"/>
      <c r="S200" s="129"/>
    </row>
    <row r="201" spans="1:19" ht="14.45">
      <c r="A201" s="134"/>
      <c r="B201" s="141"/>
      <c r="C201" s="141"/>
      <c r="D201" s="136" t="s">
        <v>296</v>
      </c>
      <c r="E201" s="128"/>
      <c r="F201" s="128"/>
      <c r="G201" s="128"/>
      <c r="H201" s="128"/>
      <c r="I201" s="128"/>
      <c r="J201" s="128"/>
      <c r="K201" s="129"/>
      <c r="L201" s="2" t="s">
        <v>30</v>
      </c>
      <c r="M201" s="83">
        <v>4</v>
      </c>
      <c r="N201" s="47">
        <f t="shared" si="6"/>
        <v>5</v>
      </c>
      <c r="O201" s="47">
        <f t="shared" si="7"/>
        <v>20</v>
      </c>
      <c r="P201" s="184"/>
      <c r="Q201" s="127" t="s">
        <v>297</v>
      </c>
      <c r="R201" s="128"/>
      <c r="S201" s="129"/>
    </row>
    <row r="202" spans="1:19" ht="14.45">
      <c r="A202" s="134"/>
      <c r="B202" s="141"/>
      <c r="C202" s="141"/>
      <c r="D202" s="136" t="s">
        <v>298</v>
      </c>
      <c r="E202" s="128"/>
      <c r="F202" s="128"/>
      <c r="G202" s="128"/>
      <c r="H202" s="128"/>
      <c r="I202" s="128"/>
      <c r="J202" s="128"/>
      <c r="K202" s="129"/>
      <c r="L202" s="2" t="s">
        <v>52</v>
      </c>
      <c r="M202" s="83">
        <v>5</v>
      </c>
      <c r="N202" s="47">
        <f t="shared" si="6"/>
        <v>4</v>
      </c>
      <c r="O202" s="47">
        <f t="shared" si="7"/>
        <v>20</v>
      </c>
      <c r="P202" s="184"/>
      <c r="Q202" s="127"/>
      <c r="R202" s="128"/>
      <c r="S202" s="129"/>
    </row>
    <row r="203" spans="1:19" ht="14.45">
      <c r="A203" s="134"/>
      <c r="B203" s="141"/>
      <c r="C203" s="141"/>
      <c r="D203" s="136" t="s">
        <v>299</v>
      </c>
      <c r="E203" s="128"/>
      <c r="F203" s="128"/>
      <c r="G203" s="128"/>
      <c r="H203" s="128"/>
      <c r="I203" s="128"/>
      <c r="J203" s="128"/>
      <c r="K203" s="129"/>
      <c r="L203" s="2" t="s">
        <v>30</v>
      </c>
      <c r="M203" s="83">
        <v>5</v>
      </c>
      <c r="N203" s="47">
        <f t="shared" si="6"/>
        <v>5</v>
      </c>
      <c r="O203" s="47">
        <f t="shared" si="7"/>
        <v>25</v>
      </c>
      <c r="P203" s="184"/>
      <c r="Q203" s="376" t="s">
        <v>300</v>
      </c>
      <c r="R203" s="374"/>
      <c r="S203" s="375"/>
    </row>
    <row r="204" spans="1:19" ht="14.45">
      <c r="A204" s="134"/>
      <c r="B204" s="141"/>
      <c r="C204" s="141"/>
      <c r="D204" s="136" t="s">
        <v>301</v>
      </c>
      <c r="E204" s="128"/>
      <c r="F204" s="128"/>
      <c r="G204" s="128"/>
      <c r="H204" s="128"/>
      <c r="I204" s="128"/>
      <c r="J204" s="128"/>
      <c r="K204" s="129"/>
      <c r="L204" s="2" t="s">
        <v>41</v>
      </c>
      <c r="M204" s="83">
        <v>4</v>
      </c>
      <c r="N204" s="47">
        <f t="shared" si="6"/>
        <v>0</v>
      </c>
      <c r="O204" s="47">
        <f t="shared" si="7"/>
        <v>0</v>
      </c>
      <c r="P204" s="184"/>
      <c r="Q204" s="376"/>
      <c r="R204" s="374"/>
      <c r="S204" s="375"/>
    </row>
    <row r="205" spans="1:19" ht="14.45">
      <c r="A205" s="134"/>
      <c r="B205" s="141"/>
      <c r="C205" s="142"/>
      <c r="D205" s="136" t="s">
        <v>302</v>
      </c>
      <c r="E205" s="128"/>
      <c r="F205" s="128"/>
      <c r="G205" s="128"/>
      <c r="H205" s="128"/>
      <c r="I205" s="128"/>
      <c r="J205" s="128"/>
      <c r="K205" s="129"/>
      <c r="L205" s="2" t="s">
        <v>41</v>
      </c>
      <c r="M205" s="83">
        <v>5</v>
      </c>
      <c r="N205" s="47">
        <f t="shared" si="6"/>
        <v>0</v>
      </c>
      <c r="O205" s="47">
        <f t="shared" si="7"/>
        <v>0</v>
      </c>
      <c r="P205" s="185"/>
      <c r="Q205" s="376"/>
      <c r="R205" s="374"/>
      <c r="S205" s="375"/>
    </row>
    <row r="206" spans="1:19" ht="14.45">
      <c r="A206" s="134"/>
      <c r="B206" s="141"/>
      <c r="C206" s="4"/>
      <c r="D206" s="186"/>
      <c r="E206" s="122"/>
      <c r="F206" s="122"/>
      <c r="G206" s="122"/>
      <c r="H206" s="122"/>
      <c r="I206" s="122"/>
      <c r="J206" s="122"/>
      <c r="K206" s="123"/>
      <c r="L206" s="2"/>
      <c r="M206" s="47"/>
      <c r="N206" s="47" t="str">
        <f t="shared" si="6"/>
        <v/>
      </c>
      <c r="O206" s="47" t="str">
        <f t="shared" si="7"/>
        <v/>
      </c>
      <c r="P206" s="54"/>
      <c r="Q206" s="121"/>
      <c r="R206" s="122"/>
      <c r="S206" s="123"/>
    </row>
    <row r="207" spans="1:19" ht="14.45">
      <c r="A207" s="134"/>
      <c r="B207" s="141"/>
      <c r="C207" s="140" t="s">
        <v>303</v>
      </c>
      <c r="D207" s="136" t="s">
        <v>304</v>
      </c>
      <c r="E207" s="128"/>
      <c r="F207" s="128"/>
      <c r="G207" s="128"/>
      <c r="H207" s="128"/>
      <c r="I207" s="128"/>
      <c r="J207" s="128"/>
      <c r="K207" s="129"/>
      <c r="L207" s="2" t="s">
        <v>41</v>
      </c>
      <c r="M207" s="83">
        <v>5</v>
      </c>
      <c r="N207" s="47">
        <f t="shared" si="6"/>
        <v>0</v>
      </c>
      <c r="O207" s="47">
        <f t="shared" si="7"/>
        <v>0</v>
      </c>
      <c r="P207" s="183">
        <f>IFERROR(AVERAGE(O207:O210),"")</f>
        <v>0</v>
      </c>
      <c r="Q207" s="215" t="s">
        <v>305</v>
      </c>
      <c r="R207" s="216"/>
      <c r="S207" s="217"/>
    </row>
    <row r="208" spans="1:19" ht="14.45">
      <c r="A208" s="134"/>
      <c r="B208" s="141"/>
      <c r="C208" s="141"/>
      <c r="D208" s="136" t="s">
        <v>306</v>
      </c>
      <c r="E208" s="128"/>
      <c r="F208" s="128"/>
      <c r="G208" s="128"/>
      <c r="H208" s="128"/>
      <c r="I208" s="128"/>
      <c r="J208" s="128"/>
      <c r="K208" s="129"/>
      <c r="L208" s="2" t="s">
        <v>41</v>
      </c>
      <c r="M208" s="83">
        <v>5</v>
      </c>
      <c r="N208" s="47">
        <f t="shared" si="6"/>
        <v>0</v>
      </c>
      <c r="O208" s="47">
        <f t="shared" si="7"/>
        <v>0</v>
      </c>
      <c r="P208" s="184"/>
      <c r="Q208" s="218"/>
      <c r="R208" s="219"/>
      <c r="S208" s="220"/>
    </row>
    <row r="209" spans="1:19" ht="14.45">
      <c r="A209" s="134"/>
      <c r="B209" s="141"/>
      <c r="C209" s="141"/>
      <c r="D209" s="348" t="s">
        <v>307</v>
      </c>
      <c r="E209" s="349"/>
      <c r="F209" s="349"/>
      <c r="G209" s="349"/>
      <c r="H209" s="349"/>
      <c r="I209" s="349"/>
      <c r="J209" s="349"/>
      <c r="K209" s="350"/>
      <c r="L209" s="2" t="s">
        <v>41</v>
      </c>
      <c r="M209" s="83">
        <v>4</v>
      </c>
      <c r="N209" s="47">
        <f t="shared" si="6"/>
        <v>0</v>
      </c>
      <c r="O209" s="47">
        <f t="shared" si="7"/>
        <v>0</v>
      </c>
      <c r="P209" s="184"/>
      <c r="Q209" s="218"/>
      <c r="R209" s="219"/>
      <c r="S209" s="220"/>
    </row>
    <row r="210" spans="1:19" ht="14.45">
      <c r="A210" s="134"/>
      <c r="B210" s="141"/>
      <c r="C210" s="142"/>
      <c r="D210" s="136" t="s">
        <v>308</v>
      </c>
      <c r="E210" s="128"/>
      <c r="F210" s="128"/>
      <c r="G210" s="128"/>
      <c r="H210" s="128"/>
      <c r="I210" s="128"/>
      <c r="J210" s="128"/>
      <c r="K210" s="129"/>
      <c r="L210" s="2" t="s">
        <v>41</v>
      </c>
      <c r="M210" s="83">
        <v>5</v>
      </c>
      <c r="N210" s="47">
        <f t="shared" si="6"/>
        <v>0</v>
      </c>
      <c r="O210" s="47">
        <f t="shared" si="7"/>
        <v>0</v>
      </c>
      <c r="P210" s="185"/>
      <c r="Q210" s="221"/>
      <c r="R210" s="222"/>
      <c r="S210" s="223"/>
    </row>
    <row r="211" spans="1:19" ht="14.45">
      <c r="A211" s="134"/>
      <c r="B211" s="141"/>
      <c r="C211" s="4"/>
      <c r="D211" s="186"/>
      <c r="E211" s="122"/>
      <c r="F211" s="122"/>
      <c r="G211" s="122"/>
      <c r="H211" s="122"/>
      <c r="I211" s="122"/>
      <c r="J211" s="122"/>
      <c r="K211" s="123"/>
      <c r="L211" s="2"/>
      <c r="M211" s="47"/>
      <c r="N211" s="47" t="str">
        <f t="shared" si="6"/>
        <v/>
      </c>
      <c r="O211" s="47" t="str">
        <f t="shared" si="7"/>
        <v/>
      </c>
      <c r="P211" s="87"/>
      <c r="Q211" s="121"/>
      <c r="R211" s="122"/>
      <c r="S211" s="123"/>
    </row>
    <row r="212" spans="1:19" s="72" customFormat="1" ht="42.95" customHeight="1">
      <c r="A212" s="134"/>
      <c r="B212" s="141"/>
      <c r="C212" s="140" t="s">
        <v>309</v>
      </c>
      <c r="D212" s="165" t="s">
        <v>310</v>
      </c>
      <c r="E212" s="166"/>
      <c r="F212" s="166"/>
      <c r="G212" s="166"/>
      <c r="H212" s="166"/>
      <c r="I212" s="166"/>
      <c r="J212" s="166"/>
      <c r="K212" s="167"/>
      <c r="L212" s="104" t="s">
        <v>30</v>
      </c>
      <c r="M212" s="83">
        <v>5</v>
      </c>
      <c r="N212" s="47">
        <f t="shared" si="6"/>
        <v>5</v>
      </c>
      <c r="O212" s="47">
        <f t="shared" si="7"/>
        <v>25</v>
      </c>
      <c r="P212" s="246">
        <f>IFERROR(AVERAGE(O212:O216),"")</f>
        <v>19</v>
      </c>
      <c r="Q212" s="224" t="s">
        <v>311</v>
      </c>
      <c r="R212" s="225"/>
      <c r="S212" s="226"/>
    </row>
    <row r="213" spans="1:19" s="72" customFormat="1" ht="66" customHeight="1">
      <c r="A213" s="134"/>
      <c r="B213" s="141"/>
      <c r="C213" s="141"/>
      <c r="D213" s="165" t="s">
        <v>312</v>
      </c>
      <c r="E213" s="166"/>
      <c r="F213" s="166"/>
      <c r="G213" s="166"/>
      <c r="H213" s="166"/>
      <c r="I213" s="166"/>
      <c r="J213" s="166"/>
      <c r="K213" s="167"/>
      <c r="L213" s="104" t="s">
        <v>41</v>
      </c>
      <c r="M213" s="83">
        <v>5</v>
      </c>
      <c r="N213" s="47">
        <f t="shared" si="6"/>
        <v>0</v>
      </c>
      <c r="O213" s="47">
        <f t="shared" si="7"/>
        <v>0</v>
      </c>
      <c r="P213" s="246"/>
      <c r="Q213" s="125" t="s">
        <v>313</v>
      </c>
      <c r="R213" s="125"/>
      <c r="S213" s="126"/>
    </row>
    <row r="214" spans="1:19" ht="14.45">
      <c r="A214" s="134"/>
      <c r="B214" s="141"/>
      <c r="C214" s="141"/>
      <c r="D214" s="136" t="s">
        <v>314</v>
      </c>
      <c r="E214" s="128"/>
      <c r="F214" s="128"/>
      <c r="G214" s="128"/>
      <c r="H214" s="128"/>
      <c r="I214" s="128"/>
      <c r="J214" s="128"/>
      <c r="K214" s="129"/>
      <c r="L214" s="2" t="s">
        <v>30</v>
      </c>
      <c r="M214" s="83">
        <v>5</v>
      </c>
      <c r="N214" s="47">
        <f t="shared" si="6"/>
        <v>5</v>
      </c>
      <c r="O214" s="47">
        <f t="shared" si="7"/>
        <v>25</v>
      </c>
      <c r="P214" s="246"/>
      <c r="Q214" s="374"/>
      <c r="R214" s="374"/>
      <c r="S214" s="375"/>
    </row>
    <row r="215" spans="1:19" s="72" customFormat="1" ht="30" customHeight="1">
      <c r="A215" s="134"/>
      <c r="B215" s="141"/>
      <c r="C215" s="141"/>
      <c r="D215" s="165" t="s">
        <v>315</v>
      </c>
      <c r="E215" s="166"/>
      <c r="F215" s="166"/>
      <c r="G215" s="166"/>
      <c r="H215" s="166"/>
      <c r="I215" s="166"/>
      <c r="J215" s="166"/>
      <c r="K215" s="167"/>
      <c r="L215" s="104" t="s">
        <v>30</v>
      </c>
      <c r="M215" s="83">
        <v>4</v>
      </c>
      <c r="N215" s="47">
        <f t="shared" si="6"/>
        <v>5</v>
      </c>
      <c r="O215" s="47">
        <f t="shared" si="7"/>
        <v>20</v>
      </c>
      <c r="P215" s="246"/>
      <c r="Q215" s="125" t="s">
        <v>316</v>
      </c>
      <c r="R215" s="125"/>
      <c r="S215" s="126"/>
    </row>
    <row r="216" spans="1:19" s="72" customFormat="1" ht="63" customHeight="1">
      <c r="A216" s="135"/>
      <c r="B216" s="142"/>
      <c r="C216" s="142"/>
      <c r="D216" s="119" t="s">
        <v>317</v>
      </c>
      <c r="E216" s="106"/>
      <c r="F216" s="106"/>
      <c r="G216" s="106"/>
      <c r="H216" s="106"/>
      <c r="I216" s="106"/>
      <c r="J216" s="106"/>
      <c r="K216" s="107"/>
      <c r="L216" s="104" t="s">
        <v>30</v>
      </c>
      <c r="M216" s="83">
        <v>5</v>
      </c>
      <c r="N216" s="47">
        <f t="shared" si="6"/>
        <v>5</v>
      </c>
      <c r="O216" s="47">
        <f t="shared" si="7"/>
        <v>25</v>
      </c>
      <c r="P216" s="246"/>
      <c r="Q216" s="225" t="s">
        <v>318</v>
      </c>
      <c r="R216" s="225"/>
      <c r="S216" s="226"/>
    </row>
    <row r="217" spans="1:19" ht="14.45">
      <c r="A217" s="59"/>
      <c r="B217" s="4"/>
      <c r="C217" s="4"/>
      <c r="D217" s="186"/>
      <c r="E217" s="122"/>
      <c r="F217" s="122"/>
      <c r="G217" s="122"/>
      <c r="H217" s="122"/>
      <c r="I217" s="122"/>
      <c r="J217" s="122"/>
      <c r="K217" s="123"/>
      <c r="L217" s="2"/>
      <c r="M217" s="47"/>
      <c r="N217" s="47" t="str">
        <f t="shared" si="6"/>
        <v/>
      </c>
      <c r="O217" s="47" t="str">
        <f t="shared" si="7"/>
        <v/>
      </c>
      <c r="P217" s="88"/>
      <c r="Q217" s="121"/>
      <c r="R217" s="122"/>
      <c r="S217" s="123"/>
    </row>
    <row r="218" spans="1:19" ht="14.45">
      <c r="A218" s="133">
        <v>15</v>
      </c>
      <c r="B218" s="140" t="s">
        <v>319</v>
      </c>
      <c r="C218" s="140" t="s">
        <v>320</v>
      </c>
      <c r="D218" s="136" t="s">
        <v>321</v>
      </c>
      <c r="E218" s="128"/>
      <c r="F218" s="128"/>
      <c r="G218" s="128"/>
      <c r="H218" s="128"/>
      <c r="I218" s="128"/>
      <c r="J218" s="128"/>
      <c r="K218" s="129"/>
      <c r="L218" s="2" t="s">
        <v>30</v>
      </c>
      <c r="M218" s="83">
        <v>5</v>
      </c>
      <c r="N218" s="47">
        <f t="shared" si="6"/>
        <v>5</v>
      </c>
      <c r="O218" s="47">
        <f t="shared" si="7"/>
        <v>25</v>
      </c>
      <c r="P218" s="183">
        <f>IFERROR(AVERAGE(O218:O224),"")</f>
        <v>21.571428571428573</v>
      </c>
      <c r="Q218" s="127" t="s">
        <v>322</v>
      </c>
      <c r="R218" s="128"/>
      <c r="S218" s="129"/>
    </row>
    <row r="219" spans="1:19" ht="14.45">
      <c r="A219" s="134"/>
      <c r="B219" s="141"/>
      <c r="C219" s="141"/>
      <c r="D219" s="136" t="s">
        <v>323</v>
      </c>
      <c r="E219" s="128"/>
      <c r="F219" s="128"/>
      <c r="G219" s="128"/>
      <c r="H219" s="128"/>
      <c r="I219" s="128"/>
      <c r="J219" s="128"/>
      <c r="K219" s="129"/>
      <c r="L219" s="2" t="s">
        <v>30</v>
      </c>
      <c r="M219" s="83">
        <v>5</v>
      </c>
      <c r="N219" s="47">
        <f t="shared" si="6"/>
        <v>5</v>
      </c>
      <c r="O219" s="47">
        <f t="shared" si="7"/>
        <v>25</v>
      </c>
      <c r="P219" s="184"/>
      <c r="Q219" s="127" t="s">
        <v>324</v>
      </c>
      <c r="R219" s="128"/>
      <c r="S219" s="129"/>
    </row>
    <row r="220" spans="1:19" ht="14.45">
      <c r="A220" s="134"/>
      <c r="B220" s="141"/>
      <c r="C220" s="141"/>
      <c r="D220" s="136" t="s">
        <v>325</v>
      </c>
      <c r="E220" s="128"/>
      <c r="F220" s="128"/>
      <c r="G220" s="128"/>
      <c r="H220" s="128"/>
      <c r="I220" s="128"/>
      <c r="J220" s="128"/>
      <c r="K220" s="129"/>
      <c r="L220" s="2" t="s">
        <v>30</v>
      </c>
      <c r="M220" s="83">
        <v>4</v>
      </c>
      <c r="N220" s="47">
        <f t="shared" si="6"/>
        <v>5</v>
      </c>
      <c r="O220" s="47">
        <f t="shared" si="7"/>
        <v>20</v>
      </c>
      <c r="P220" s="184"/>
      <c r="Q220" s="376" t="s">
        <v>326</v>
      </c>
      <c r="R220" s="374"/>
      <c r="S220" s="375"/>
    </row>
    <row r="221" spans="1:19" s="72" customFormat="1" ht="48" customHeight="1">
      <c r="A221" s="134"/>
      <c r="B221" s="141"/>
      <c r="C221" s="141"/>
      <c r="D221" s="214" t="s">
        <v>327</v>
      </c>
      <c r="E221" s="175"/>
      <c r="F221" s="175"/>
      <c r="G221" s="175"/>
      <c r="H221" s="175"/>
      <c r="I221" s="175"/>
      <c r="J221" s="175"/>
      <c r="K221" s="176"/>
      <c r="L221" s="104" t="s">
        <v>30</v>
      </c>
      <c r="M221" s="83">
        <v>5</v>
      </c>
      <c r="N221" s="47">
        <f t="shared" si="6"/>
        <v>5</v>
      </c>
      <c r="O221" s="47">
        <f t="shared" si="7"/>
        <v>25</v>
      </c>
      <c r="P221" s="184"/>
      <c r="Q221" s="124" t="s">
        <v>328</v>
      </c>
      <c r="R221" s="125"/>
      <c r="S221" s="126"/>
    </row>
    <row r="222" spans="1:19" ht="14.45">
      <c r="A222" s="134"/>
      <c r="B222" s="141"/>
      <c r="C222" s="141"/>
      <c r="D222" s="177" t="s">
        <v>329</v>
      </c>
      <c r="E222" s="178"/>
      <c r="F222" s="178"/>
      <c r="G222" s="178"/>
      <c r="H222" s="178"/>
      <c r="I222" s="178"/>
      <c r="J222" s="178"/>
      <c r="K222" s="179"/>
      <c r="L222" s="2" t="s">
        <v>52</v>
      </c>
      <c r="M222" s="83">
        <v>5</v>
      </c>
      <c r="N222" s="47">
        <f t="shared" si="6"/>
        <v>4</v>
      </c>
      <c r="O222" s="47">
        <f t="shared" si="7"/>
        <v>20</v>
      </c>
      <c r="P222" s="184"/>
      <c r="Q222" s="376"/>
      <c r="R222" s="374"/>
      <c r="S222" s="375"/>
    </row>
    <row r="223" spans="1:19" ht="14.45">
      <c r="A223" s="134"/>
      <c r="B223" s="141"/>
      <c r="C223" s="141"/>
      <c r="D223" s="177" t="s">
        <v>330</v>
      </c>
      <c r="E223" s="178"/>
      <c r="F223" s="178"/>
      <c r="G223" s="178"/>
      <c r="H223" s="178"/>
      <c r="I223" s="178"/>
      <c r="J223" s="178"/>
      <c r="K223" s="179"/>
      <c r="L223" s="2" t="s">
        <v>52</v>
      </c>
      <c r="M223" s="83">
        <v>4</v>
      </c>
      <c r="N223" s="47">
        <f t="shared" si="6"/>
        <v>4</v>
      </c>
      <c r="O223" s="47">
        <f t="shared" si="7"/>
        <v>16</v>
      </c>
      <c r="P223" s="184"/>
      <c r="Q223" s="376"/>
      <c r="R223" s="374"/>
      <c r="S223" s="375"/>
    </row>
    <row r="224" spans="1:19" s="72" customFormat="1" ht="33.6" customHeight="1">
      <c r="A224" s="135"/>
      <c r="B224" s="142"/>
      <c r="C224" s="142"/>
      <c r="D224" s="214" t="s">
        <v>331</v>
      </c>
      <c r="E224" s="175"/>
      <c r="F224" s="175"/>
      <c r="G224" s="175"/>
      <c r="H224" s="175"/>
      <c r="I224" s="175"/>
      <c r="J224" s="175"/>
      <c r="K224" s="176"/>
      <c r="L224" s="104" t="s">
        <v>30</v>
      </c>
      <c r="M224" s="83">
        <v>4</v>
      </c>
      <c r="N224" s="47">
        <f t="shared" si="6"/>
        <v>5</v>
      </c>
      <c r="O224" s="47">
        <f t="shared" si="7"/>
        <v>20</v>
      </c>
      <c r="P224" s="185"/>
      <c r="Q224" s="224" t="s">
        <v>332</v>
      </c>
      <c r="R224" s="225"/>
      <c r="S224" s="226"/>
    </row>
    <row r="225" spans="1:19" s="82" customFormat="1" ht="14.45">
      <c r="A225" s="76"/>
      <c r="B225" s="77"/>
      <c r="C225" s="77"/>
      <c r="D225" s="211"/>
      <c r="E225" s="212"/>
      <c r="F225" s="212"/>
      <c r="G225" s="212"/>
      <c r="H225" s="212"/>
      <c r="I225" s="212"/>
      <c r="J225" s="212"/>
      <c r="K225" s="213"/>
      <c r="L225" s="42"/>
      <c r="M225" s="78"/>
      <c r="N225" s="47" t="str">
        <f t="shared" si="6"/>
        <v/>
      </c>
      <c r="O225" s="47" t="str">
        <f t="shared" si="7"/>
        <v/>
      </c>
      <c r="P225" s="79"/>
      <c r="Q225" s="80"/>
      <c r="R225" s="80"/>
      <c r="S225" s="81"/>
    </row>
    <row r="226" spans="1:19" ht="14.45">
      <c r="A226" s="140">
        <v>16</v>
      </c>
      <c r="B226" s="140" t="s">
        <v>333</v>
      </c>
      <c r="C226" s="133" t="s">
        <v>334</v>
      </c>
      <c r="D226" s="136" t="s">
        <v>335</v>
      </c>
      <c r="E226" s="128"/>
      <c r="F226" s="128"/>
      <c r="G226" s="128"/>
      <c r="H226" s="128"/>
      <c r="I226" s="128"/>
      <c r="J226" s="128"/>
      <c r="K226" s="129"/>
      <c r="L226" s="2" t="s">
        <v>52</v>
      </c>
      <c r="M226" s="83">
        <v>5</v>
      </c>
      <c r="N226" s="47">
        <f t="shared" si="6"/>
        <v>4</v>
      </c>
      <c r="O226" s="47">
        <f t="shared" si="7"/>
        <v>20</v>
      </c>
      <c r="P226" s="183">
        <f>IFERROR(AVERAGE(O226:O231),"")</f>
        <v>18.666666666666668</v>
      </c>
      <c r="Q226" s="228" t="s">
        <v>336</v>
      </c>
      <c r="R226" s="229"/>
      <c r="S226" s="230"/>
    </row>
    <row r="227" spans="1:19" ht="14.45">
      <c r="A227" s="141"/>
      <c r="B227" s="141"/>
      <c r="C227" s="134"/>
      <c r="D227" s="136" t="s">
        <v>337</v>
      </c>
      <c r="E227" s="128"/>
      <c r="F227" s="128"/>
      <c r="G227" s="128"/>
      <c r="H227" s="128"/>
      <c r="I227" s="128"/>
      <c r="J227" s="128"/>
      <c r="K227" s="129"/>
      <c r="L227" s="2" t="s">
        <v>52</v>
      </c>
      <c r="M227" s="83">
        <v>5</v>
      </c>
      <c r="N227" s="47">
        <f t="shared" si="6"/>
        <v>4</v>
      </c>
      <c r="O227" s="47">
        <f t="shared" si="7"/>
        <v>20</v>
      </c>
      <c r="P227" s="184"/>
      <c r="Q227" s="231"/>
      <c r="R227" s="232"/>
      <c r="S227" s="233"/>
    </row>
    <row r="228" spans="1:19" ht="14.45">
      <c r="A228" s="141"/>
      <c r="B228" s="141"/>
      <c r="C228" s="134"/>
      <c r="D228" s="136" t="s">
        <v>338</v>
      </c>
      <c r="E228" s="128"/>
      <c r="F228" s="128"/>
      <c r="G228" s="128"/>
      <c r="H228" s="128"/>
      <c r="I228" s="128"/>
      <c r="J228" s="128"/>
      <c r="K228" s="129"/>
      <c r="L228" s="2" t="s">
        <v>52</v>
      </c>
      <c r="M228" s="83">
        <v>5</v>
      </c>
      <c r="N228" s="47">
        <f t="shared" si="6"/>
        <v>4</v>
      </c>
      <c r="O228" s="47">
        <f t="shared" si="7"/>
        <v>20</v>
      </c>
      <c r="P228" s="184"/>
      <c r="Q228" s="231"/>
      <c r="R228" s="232"/>
      <c r="S228" s="233"/>
    </row>
    <row r="229" spans="1:19" ht="14.45">
      <c r="A229" s="141"/>
      <c r="B229" s="141"/>
      <c r="C229" s="134"/>
      <c r="D229" s="136" t="s">
        <v>339</v>
      </c>
      <c r="E229" s="128"/>
      <c r="F229" s="128"/>
      <c r="G229" s="128"/>
      <c r="H229" s="128"/>
      <c r="I229" s="128"/>
      <c r="J229" s="128"/>
      <c r="K229" s="129"/>
      <c r="L229" s="2" t="s">
        <v>52</v>
      </c>
      <c r="M229" s="83">
        <v>5</v>
      </c>
      <c r="N229" s="47">
        <f t="shared" si="6"/>
        <v>4</v>
      </c>
      <c r="O229" s="47">
        <f t="shared" si="7"/>
        <v>20</v>
      </c>
      <c r="P229" s="184"/>
      <c r="Q229" s="231"/>
      <c r="R229" s="232"/>
      <c r="S229" s="233"/>
    </row>
    <row r="230" spans="1:19" ht="14.45">
      <c r="A230" s="141"/>
      <c r="B230" s="141"/>
      <c r="C230" s="134"/>
      <c r="D230" s="136" t="s">
        <v>340</v>
      </c>
      <c r="E230" s="128"/>
      <c r="F230" s="128"/>
      <c r="G230" s="128"/>
      <c r="H230" s="128"/>
      <c r="I230" s="128"/>
      <c r="J230" s="128"/>
      <c r="K230" s="129"/>
      <c r="L230" s="2" t="s">
        <v>52</v>
      </c>
      <c r="M230" s="83">
        <v>4</v>
      </c>
      <c r="N230" s="47">
        <f t="shared" si="6"/>
        <v>4</v>
      </c>
      <c r="O230" s="47">
        <f t="shared" si="7"/>
        <v>16</v>
      </c>
      <c r="P230" s="184"/>
      <c r="Q230" s="231"/>
      <c r="R230" s="232"/>
      <c r="S230" s="233"/>
    </row>
    <row r="231" spans="1:19" ht="14.45">
      <c r="A231" s="141"/>
      <c r="B231" s="141"/>
      <c r="C231" s="135"/>
      <c r="D231" s="136" t="s">
        <v>341</v>
      </c>
      <c r="E231" s="128"/>
      <c r="F231" s="128"/>
      <c r="G231" s="128"/>
      <c r="H231" s="128"/>
      <c r="I231" s="128"/>
      <c r="J231" s="128"/>
      <c r="K231" s="129"/>
      <c r="L231" s="2" t="s">
        <v>52</v>
      </c>
      <c r="M231" s="83">
        <v>4</v>
      </c>
      <c r="N231" s="47">
        <f t="shared" si="6"/>
        <v>4</v>
      </c>
      <c r="O231" s="47">
        <f t="shared" si="7"/>
        <v>16</v>
      </c>
      <c r="P231" s="185"/>
      <c r="Q231" s="234"/>
      <c r="R231" s="235"/>
      <c r="S231" s="236"/>
    </row>
    <row r="232" spans="1:19" ht="14.45">
      <c r="A232" s="141"/>
      <c r="B232" s="141"/>
      <c r="C232" s="4"/>
      <c r="D232" s="186"/>
      <c r="E232" s="122"/>
      <c r="F232" s="122"/>
      <c r="G232" s="122"/>
      <c r="H232" s="122"/>
      <c r="I232" s="122"/>
      <c r="J232" s="122"/>
      <c r="K232" s="123"/>
      <c r="L232" s="2"/>
      <c r="M232" s="47"/>
      <c r="N232" s="47" t="str">
        <f t="shared" si="6"/>
        <v/>
      </c>
      <c r="O232" s="47" t="str">
        <f t="shared" si="7"/>
        <v/>
      </c>
      <c r="P232" s="54"/>
      <c r="Q232" s="121"/>
      <c r="R232" s="122"/>
      <c r="S232" s="123"/>
    </row>
    <row r="233" spans="1:19" ht="14.45">
      <c r="A233" s="141"/>
      <c r="B233" s="141"/>
      <c r="C233" s="133" t="s">
        <v>342</v>
      </c>
      <c r="D233" s="136" t="s">
        <v>343</v>
      </c>
      <c r="E233" s="128"/>
      <c r="F233" s="128"/>
      <c r="G233" s="128"/>
      <c r="H233" s="128"/>
      <c r="I233" s="128"/>
      <c r="J233" s="128"/>
      <c r="K233" s="129"/>
      <c r="L233" s="2" t="s">
        <v>30</v>
      </c>
      <c r="M233" s="83">
        <v>5</v>
      </c>
      <c r="N233" s="47">
        <f t="shared" si="6"/>
        <v>5</v>
      </c>
      <c r="O233" s="47">
        <f t="shared" si="7"/>
        <v>25</v>
      </c>
      <c r="P233" s="183">
        <f>IFERROR(AVERAGE(O233:O237),"")</f>
        <v>24</v>
      </c>
      <c r="Q233" s="121"/>
      <c r="R233" s="122"/>
      <c r="S233" s="123"/>
    </row>
    <row r="234" spans="1:19" ht="14.45">
      <c r="A234" s="141"/>
      <c r="B234" s="141"/>
      <c r="C234" s="134"/>
      <c r="D234" s="136" t="s">
        <v>344</v>
      </c>
      <c r="E234" s="128"/>
      <c r="F234" s="128"/>
      <c r="G234" s="128"/>
      <c r="H234" s="128"/>
      <c r="I234" s="128"/>
      <c r="J234" s="128"/>
      <c r="K234" s="129"/>
      <c r="L234" s="2" t="s">
        <v>30</v>
      </c>
      <c r="M234" s="83">
        <v>5</v>
      </c>
      <c r="N234" s="47">
        <f t="shared" si="6"/>
        <v>5</v>
      </c>
      <c r="O234" s="47">
        <f t="shared" si="7"/>
        <v>25</v>
      </c>
      <c r="P234" s="184"/>
      <c r="Q234" s="121"/>
      <c r="R234" s="122"/>
      <c r="S234" s="123"/>
    </row>
    <row r="235" spans="1:19" ht="14.45">
      <c r="A235" s="141"/>
      <c r="B235" s="141"/>
      <c r="C235" s="134"/>
      <c r="D235" s="136" t="s">
        <v>345</v>
      </c>
      <c r="E235" s="128"/>
      <c r="F235" s="128"/>
      <c r="G235" s="128"/>
      <c r="H235" s="128"/>
      <c r="I235" s="128"/>
      <c r="J235" s="128"/>
      <c r="K235" s="129"/>
      <c r="L235" s="2" t="s">
        <v>30</v>
      </c>
      <c r="M235" s="83">
        <v>5</v>
      </c>
      <c r="N235" s="47">
        <f t="shared" si="6"/>
        <v>5</v>
      </c>
      <c r="O235" s="47">
        <f t="shared" si="7"/>
        <v>25</v>
      </c>
      <c r="P235" s="184"/>
      <c r="Q235" s="121"/>
      <c r="R235" s="122"/>
      <c r="S235" s="123"/>
    </row>
    <row r="236" spans="1:19" ht="14.45">
      <c r="A236" s="141"/>
      <c r="B236" s="141"/>
      <c r="C236" s="134"/>
      <c r="D236" s="136" t="s">
        <v>346</v>
      </c>
      <c r="E236" s="128"/>
      <c r="F236" s="128"/>
      <c r="G236" s="128"/>
      <c r="H236" s="128"/>
      <c r="I236" s="128"/>
      <c r="J236" s="128"/>
      <c r="K236" s="129"/>
      <c r="L236" s="2" t="s">
        <v>30</v>
      </c>
      <c r="M236" s="83">
        <v>5</v>
      </c>
      <c r="N236" s="47">
        <f t="shared" si="6"/>
        <v>5</v>
      </c>
      <c r="O236" s="47">
        <f t="shared" si="7"/>
        <v>25</v>
      </c>
      <c r="P236" s="184"/>
      <c r="Q236" s="121"/>
      <c r="R236" s="122"/>
      <c r="S236" s="123"/>
    </row>
    <row r="237" spans="1:19" ht="14.45">
      <c r="A237" s="141"/>
      <c r="B237" s="141"/>
      <c r="C237" s="135"/>
      <c r="D237" s="136" t="s">
        <v>347</v>
      </c>
      <c r="E237" s="128"/>
      <c r="F237" s="128"/>
      <c r="G237" s="128"/>
      <c r="H237" s="128"/>
      <c r="I237" s="128"/>
      <c r="J237" s="128"/>
      <c r="K237" s="129"/>
      <c r="L237" s="2" t="s">
        <v>30</v>
      </c>
      <c r="M237" s="83">
        <v>4</v>
      </c>
      <c r="N237" s="47">
        <f t="shared" si="6"/>
        <v>5</v>
      </c>
      <c r="O237" s="47">
        <f t="shared" si="7"/>
        <v>20</v>
      </c>
      <c r="P237" s="185"/>
      <c r="Q237" s="121"/>
      <c r="R237" s="122"/>
      <c r="S237" s="123"/>
    </row>
    <row r="238" spans="1:19" ht="14.45">
      <c r="A238" s="141"/>
      <c r="B238" s="141"/>
      <c r="C238" s="4"/>
      <c r="D238" s="136"/>
      <c r="E238" s="128"/>
      <c r="F238" s="128"/>
      <c r="G238" s="128"/>
      <c r="H238" s="128"/>
      <c r="I238" s="128"/>
      <c r="J238" s="128"/>
      <c r="K238" s="129"/>
      <c r="L238" s="2"/>
      <c r="M238" s="47"/>
      <c r="N238" s="47" t="str">
        <f t="shared" si="6"/>
        <v/>
      </c>
      <c r="O238" s="47" t="str">
        <f t="shared" si="7"/>
        <v/>
      </c>
      <c r="P238" s="54"/>
      <c r="Q238" s="121"/>
      <c r="R238" s="122"/>
      <c r="S238" s="123"/>
    </row>
    <row r="239" spans="1:19" ht="14.45">
      <c r="A239" s="141"/>
      <c r="B239" s="141"/>
      <c r="C239" s="133" t="s">
        <v>348</v>
      </c>
      <c r="D239" s="177" t="s">
        <v>349</v>
      </c>
      <c r="E239" s="178"/>
      <c r="F239" s="178"/>
      <c r="G239" s="178"/>
      <c r="H239" s="178"/>
      <c r="I239" s="178"/>
      <c r="J239" s="178"/>
      <c r="K239" s="179"/>
      <c r="L239" s="2" t="s">
        <v>30</v>
      </c>
      <c r="M239" s="83">
        <v>5</v>
      </c>
      <c r="N239" s="47">
        <f t="shared" si="6"/>
        <v>5</v>
      </c>
      <c r="O239" s="47">
        <f t="shared" si="7"/>
        <v>25</v>
      </c>
      <c r="P239" s="183">
        <f>IFERROR(AVERAGE(O239:O240),"")</f>
        <v>25</v>
      </c>
      <c r="Q239" s="121"/>
      <c r="R239" s="122"/>
      <c r="S239" s="123"/>
    </row>
    <row r="240" spans="1:19" ht="14.45">
      <c r="A240" s="141"/>
      <c r="B240" s="141"/>
      <c r="C240" s="135"/>
      <c r="D240" s="177" t="s">
        <v>350</v>
      </c>
      <c r="E240" s="178"/>
      <c r="F240" s="178"/>
      <c r="G240" s="178"/>
      <c r="H240" s="178"/>
      <c r="I240" s="178"/>
      <c r="J240" s="178"/>
      <c r="K240" s="179"/>
      <c r="L240" s="2" t="s">
        <v>69</v>
      </c>
      <c r="M240" s="83">
        <v>4</v>
      </c>
      <c r="N240" s="47" t="str">
        <f t="shared" si="6"/>
        <v/>
      </c>
      <c r="O240" s="47" t="str">
        <f t="shared" si="7"/>
        <v/>
      </c>
      <c r="P240" s="185"/>
      <c r="Q240" s="121"/>
      <c r="R240" s="122"/>
      <c r="S240" s="123"/>
    </row>
    <row r="241" spans="1:19" ht="14.45">
      <c r="A241" s="101"/>
      <c r="B241" s="102"/>
      <c r="C241" s="100"/>
      <c r="D241" s="16"/>
      <c r="E241" s="17"/>
      <c r="F241" s="17"/>
      <c r="G241" s="17"/>
      <c r="H241" s="17"/>
      <c r="I241" s="17"/>
      <c r="J241" s="17"/>
      <c r="K241" s="18"/>
      <c r="L241" s="2"/>
      <c r="M241" s="83"/>
      <c r="N241" s="47"/>
      <c r="O241" s="47"/>
      <c r="P241" s="54"/>
      <c r="Q241" s="121"/>
      <c r="R241" s="122"/>
      <c r="S241" s="123"/>
    </row>
    <row r="242" spans="1:19" ht="14.45">
      <c r="A242" s="156">
        <v>17</v>
      </c>
      <c r="B242" s="141" t="s">
        <v>351</v>
      </c>
      <c r="C242" s="133" t="s">
        <v>352</v>
      </c>
      <c r="D242" s="227" t="s">
        <v>353</v>
      </c>
      <c r="E242" s="227"/>
      <c r="F242" s="227"/>
      <c r="G242" s="227"/>
      <c r="H242" s="227"/>
      <c r="I242" s="227"/>
      <c r="J242" s="227"/>
      <c r="K242" s="227"/>
      <c r="L242" s="2" t="s">
        <v>30</v>
      </c>
      <c r="M242" s="83">
        <v>5</v>
      </c>
      <c r="N242" s="47">
        <f t="shared" si="6"/>
        <v>5</v>
      </c>
      <c r="O242" s="47">
        <f t="shared" si="7"/>
        <v>25</v>
      </c>
      <c r="P242" s="183">
        <f>IFERROR(AVERAGE(O242:O245),"")</f>
        <v>23.75</v>
      </c>
      <c r="Q242" s="121"/>
      <c r="R242" s="122"/>
      <c r="S242" s="123"/>
    </row>
    <row r="243" spans="1:19" ht="14.45">
      <c r="A243" s="134"/>
      <c r="B243" s="141"/>
      <c r="C243" s="134"/>
      <c r="D243" s="227" t="s">
        <v>354</v>
      </c>
      <c r="E243" s="227"/>
      <c r="F243" s="227"/>
      <c r="G243" s="227"/>
      <c r="H243" s="227"/>
      <c r="I243" s="227"/>
      <c r="J243" s="227"/>
      <c r="K243" s="227"/>
      <c r="L243" s="2" t="s">
        <v>30</v>
      </c>
      <c r="M243" s="83">
        <v>4</v>
      </c>
      <c r="N243" s="47">
        <f t="shared" si="6"/>
        <v>5</v>
      </c>
      <c r="O243" s="47">
        <f t="shared" si="7"/>
        <v>20</v>
      </c>
      <c r="P243" s="184"/>
      <c r="Q243" s="121"/>
      <c r="R243" s="122"/>
      <c r="S243" s="123"/>
    </row>
    <row r="244" spans="1:19" ht="14.45">
      <c r="A244" s="134"/>
      <c r="B244" s="141"/>
      <c r="C244" s="134"/>
      <c r="D244" s="227" t="s">
        <v>355</v>
      </c>
      <c r="E244" s="227"/>
      <c r="F244" s="227"/>
      <c r="G244" s="227"/>
      <c r="H244" s="227"/>
      <c r="I244" s="227"/>
      <c r="J244" s="227"/>
      <c r="K244" s="227"/>
      <c r="L244" s="2" t="s">
        <v>30</v>
      </c>
      <c r="M244" s="83">
        <v>5</v>
      </c>
      <c r="N244" s="47">
        <f t="shared" si="6"/>
        <v>5</v>
      </c>
      <c r="O244" s="47">
        <f t="shared" si="7"/>
        <v>25</v>
      </c>
      <c r="P244" s="184"/>
      <c r="Q244" s="121"/>
      <c r="R244" s="122"/>
      <c r="S244" s="123"/>
    </row>
    <row r="245" spans="1:19" ht="14.45">
      <c r="A245" s="135"/>
      <c r="B245" s="142"/>
      <c r="C245" s="135"/>
      <c r="D245" s="227" t="s">
        <v>356</v>
      </c>
      <c r="E245" s="227"/>
      <c r="F245" s="227"/>
      <c r="G245" s="227"/>
      <c r="H245" s="227"/>
      <c r="I245" s="227"/>
      <c r="J245" s="227"/>
      <c r="K245" s="227"/>
      <c r="L245" s="2" t="s">
        <v>30</v>
      </c>
      <c r="M245" s="83">
        <v>5</v>
      </c>
      <c r="N245" s="47">
        <f t="shared" si="6"/>
        <v>5</v>
      </c>
      <c r="O245" s="47">
        <f t="shared" si="7"/>
        <v>25</v>
      </c>
      <c r="P245" s="185"/>
      <c r="Q245" s="121"/>
      <c r="R245" s="122"/>
      <c r="S245" s="123"/>
    </row>
    <row r="246" spans="1:19" ht="14.45">
      <c r="A246" s="59"/>
      <c r="B246" s="4"/>
      <c r="C246" s="4"/>
      <c r="D246" s="186"/>
      <c r="E246" s="122"/>
      <c r="F246" s="122"/>
      <c r="G246" s="122"/>
      <c r="H246" s="122"/>
      <c r="I246" s="122"/>
      <c r="J246" s="122"/>
      <c r="K246" s="123"/>
      <c r="L246" s="2"/>
      <c r="M246" s="47"/>
      <c r="N246" s="47" t="str">
        <f t="shared" si="6"/>
        <v/>
      </c>
      <c r="O246" s="47" t="str">
        <f t="shared" si="7"/>
        <v/>
      </c>
      <c r="P246" s="54"/>
      <c r="Q246" s="121"/>
      <c r="R246" s="122"/>
      <c r="S246" s="123"/>
    </row>
    <row r="247" spans="1:19" ht="14.45">
      <c r="A247" s="133">
        <v>18</v>
      </c>
      <c r="B247" s="140" t="s">
        <v>357</v>
      </c>
      <c r="C247" s="140" t="s">
        <v>358</v>
      </c>
      <c r="D247" s="136" t="s">
        <v>359</v>
      </c>
      <c r="E247" s="128"/>
      <c r="F247" s="128"/>
      <c r="G247" s="128"/>
      <c r="H247" s="128"/>
      <c r="I247" s="128"/>
      <c r="J247" s="128"/>
      <c r="K247" s="129"/>
      <c r="L247" s="2" t="s">
        <v>69</v>
      </c>
      <c r="M247" s="83">
        <v>5</v>
      </c>
      <c r="N247" s="47" t="str">
        <f t="shared" si="6"/>
        <v/>
      </c>
      <c r="O247" s="47" t="str">
        <f t="shared" si="7"/>
        <v/>
      </c>
      <c r="P247" s="183" t="str">
        <f>IFERROR(AVERAGE(O247:O253),"")</f>
        <v/>
      </c>
      <c r="Q247" s="202" t="s">
        <v>360</v>
      </c>
      <c r="R247" s="203"/>
      <c r="S247" s="204"/>
    </row>
    <row r="248" spans="1:19" ht="14.45">
      <c r="A248" s="134"/>
      <c r="B248" s="141"/>
      <c r="C248" s="141"/>
      <c r="D248" s="136" t="s">
        <v>361</v>
      </c>
      <c r="E248" s="128"/>
      <c r="F248" s="128"/>
      <c r="G248" s="128"/>
      <c r="H248" s="128"/>
      <c r="I248" s="128"/>
      <c r="J248" s="128"/>
      <c r="K248" s="129"/>
      <c r="L248" s="2" t="s">
        <v>69</v>
      </c>
      <c r="M248" s="83">
        <v>5</v>
      </c>
      <c r="N248" s="47" t="str">
        <f t="shared" si="6"/>
        <v/>
      </c>
      <c r="O248" s="47" t="str">
        <f t="shared" si="7"/>
        <v/>
      </c>
      <c r="P248" s="184"/>
      <c r="Q248" s="205"/>
      <c r="R248" s="206"/>
      <c r="S248" s="207"/>
    </row>
    <row r="249" spans="1:19" ht="14.45">
      <c r="A249" s="134"/>
      <c r="B249" s="141"/>
      <c r="C249" s="141"/>
      <c r="D249" s="136" t="s">
        <v>362</v>
      </c>
      <c r="E249" s="128"/>
      <c r="F249" s="128"/>
      <c r="G249" s="128"/>
      <c r="H249" s="128"/>
      <c r="I249" s="128"/>
      <c r="J249" s="128"/>
      <c r="K249" s="129"/>
      <c r="L249" s="2" t="s">
        <v>69</v>
      </c>
      <c r="M249" s="83">
        <v>5</v>
      </c>
      <c r="N249" s="47" t="str">
        <f t="shared" si="6"/>
        <v/>
      </c>
      <c r="O249" s="47" t="str">
        <f t="shared" si="7"/>
        <v/>
      </c>
      <c r="P249" s="184"/>
      <c r="Q249" s="205"/>
      <c r="R249" s="206"/>
      <c r="S249" s="207"/>
    </row>
    <row r="250" spans="1:19" ht="14.45">
      <c r="A250" s="134"/>
      <c r="B250" s="141"/>
      <c r="C250" s="141"/>
      <c r="D250" s="177" t="s">
        <v>363</v>
      </c>
      <c r="E250" s="178"/>
      <c r="F250" s="178"/>
      <c r="G250" s="178"/>
      <c r="H250" s="178"/>
      <c r="I250" s="178"/>
      <c r="J250" s="178"/>
      <c r="K250" s="179"/>
      <c r="L250" s="2" t="s">
        <v>69</v>
      </c>
      <c r="M250" s="83">
        <v>5</v>
      </c>
      <c r="N250" s="47" t="str">
        <f t="shared" si="6"/>
        <v/>
      </c>
      <c r="O250" s="47" t="str">
        <f t="shared" si="7"/>
        <v/>
      </c>
      <c r="P250" s="184"/>
      <c r="Q250" s="205"/>
      <c r="R250" s="206"/>
      <c r="S250" s="207"/>
    </row>
    <row r="251" spans="1:19" ht="14.45">
      <c r="A251" s="134"/>
      <c r="B251" s="141"/>
      <c r="C251" s="141"/>
      <c r="D251" s="177" t="s">
        <v>364</v>
      </c>
      <c r="E251" s="178"/>
      <c r="F251" s="178"/>
      <c r="G251" s="178"/>
      <c r="H251" s="178"/>
      <c r="I251" s="178"/>
      <c r="J251" s="178"/>
      <c r="K251" s="179"/>
      <c r="L251" s="2" t="s">
        <v>69</v>
      </c>
      <c r="M251" s="83">
        <v>5</v>
      </c>
      <c r="N251" s="47" t="str">
        <f t="shared" si="6"/>
        <v/>
      </c>
      <c r="O251" s="47" t="str">
        <f t="shared" si="7"/>
        <v/>
      </c>
      <c r="P251" s="184"/>
      <c r="Q251" s="205"/>
      <c r="R251" s="206"/>
      <c r="S251" s="207"/>
    </row>
    <row r="252" spans="1:19" ht="14.45">
      <c r="A252" s="134"/>
      <c r="B252" s="141"/>
      <c r="C252" s="141"/>
      <c r="D252" s="177" t="s">
        <v>365</v>
      </c>
      <c r="E252" s="178"/>
      <c r="F252" s="178"/>
      <c r="G252" s="178"/>
      <c r="H252" s="178"/>
      <c r="I252" s="178"/>
      <c r="J252" s="178"/>
      <c r="K252" s="179"/>
      <c r="L252" s="2" t="s">
        <v>69</v>
      </c>
      <c r="M252" s="83">
        <v>5</v>
      </c>
      <c r="N252" s="47" t="str">
        <f t="shared" si="6"/>
        <v/>
      </c>
      <c r="O252" s="47" t="str">
        <f t="shared" si="7"/>
        <v/>
      </c>
      <c r="P252" s="184"/>
      <c r="Q252" s="205"/>
      <c r="R252" s="206"/>
      <c r="S252" s="207"/>
    </row>
    <row r="253" spans="1:19" ht="14.45">
      <c r="A253" s="134"/>
      <c r="B253" s="141"/>
      <c r="C253" s="142"/>
      <c r="D253" s="177" t="s">
        <v>366</v>
      </c>
      <c r="E253" s="178"/>
      <c r="F253" s="178"/>
      <c r="G253" s="178"/>
      <c r="H253" s="178"/>
      <c r="I253" s="178"/>
      <c r="J253" s="178"/>
      <c r="K253" s="179"/>
      <c r="L253" s="2" t="s">
        <v>69</v>
      </c>
      <c r="M253" s="83">
        <v>4</v>
      </c>
      <c r="N253" s="47" t="str">
        <f t="shared" si="6"/>
        <v/>
      </c>
      <c r="O253" s="47" t="str">
        <f t="shared" si="7"/>
        <v/>
      </c>
      <c r="P253" s="185"/>
      <c r="Q253" s="208"/>
      <c r="R253" s="209"/>
      <c r="S253" s="210"/>
    </row>
    <row r="254" spans="1:19" s="19" customFormat="1" ht="14.45">
      <c r="A254" s="134"/>
      <c r="B254" s="141"/>
      <c r="C254" s="23"/>
      <c r="D254" s="171"/>
      <c r="E254" s="172"/>
      <c r="F254" s="172"/>
      <c r="G254" s="172"/>
      <c r="H254" s="172"/>
      <c r="I254" s="172"/>
      <c r="J254" s="172"/>
      <c r="K254" s="173"/>
      <c r="L254" s="2"/>
      <c r="M254" s="47"/>
      <c r="N254" s="47" t="str">
        <f t="shared" si="6"/>
        <v/>
      </c>
      <c r="O254" s="47" t="str">
        <f t="shared" si="7"/>
        <v/>
      </c>
      <c r="P254" s="54"/>
      <c r="Q254" s="42"/>
      <c r="R254" s="42"/>
      <c r="S254" s="43"/>
    </row>
    <row r="255" spans="1:19" ht="14.45">
      <c r="A255" s="134"/>
      <c r="B255" s="141"/>
      <c r="C255" s="137" t="s">
        <v>367</v>
      </c>
      <c r="D255" s="136" t="s">
        <v>368</v>
      </c>
      <c r="E255" s="128"/>
      <c r="F255" s="128"/>
      <c r="G255" s="128"/>
      <c r="H255" s="128"/>
      <c r="I255" s="128"/>
      <c r="J255" s="128"/>
      <c r="K255" s="129"/>
      <c r="L255" s="2" t="s">
        <v>69</v>
      </c>
      <c r="M255" s="83">
        <v>5</v>
      </c>
      <c r="N255" s="47" t="str">
        <f t="shared" si="6"/>
        <v/>
      </c>
      <c r="O255" s="47" t="str">
        <f t="shared" si="7"/>
        <v/>
      </c>
      <c r="P255" s="183" t="str">
        <f>IFERROR(AVERAGE(O255:O260),"")</f>
        <v/>
      </c>
      <c r="Q255" s="202" t="s">
        <v>369</v>
      </c>
      <c r="R255" s="203"/>
      <c r="S255" s="204"/>
    </row>
    <row r="256" spans="1:19" ht="14.45">
      <c r="A256" s="134"/>
      <c r="B256" s="141"/>
      <c r="C256" s="138"/>
      <c r="D256" s="136" t="s">
        <v>370</v>
      </c>
      <c r="E256" s="128"/>
      <c r="F256" s="128"/>
      <c r="G256" s="128"/>
      <c r="H256" s="128"/>
      <c r="I256" s="128"/>
      <c r="J256" s="128"/>
      <c r="K256" s="129"/>
      <c r="L256" s="2" t="s">
        <v>69</v>
      </c>
      <c r="M256" s="83">
        <v>5</v>
      </c>
      <c r="N256" s="47" t="str">
        <f t="shared" si="6"/>
        <v/>
      </c>
      <c r="O256" s="47" t="str">
        <f t="shared" si="7"/>
        <v/>
      </c>
      <c r="P256" s="184"/>
      <c r="Q256" s="205"/>
      <c r="R256" s="206"/>
      <c r="S256" s="207"/>
    </row>
    <row r="257" spans="1:19" ht="14.45">
      <c r="A257" s="134"/>
      <c r="B257" s="141"/>
      <c r="C257" s="138"/>
      <c r="D257" s="136" t="s">
        <v>371</v>
      </c>
      <c r="E257" s="128"/>
      <c r="F257" s="128"/>
      <c r="G257" s="128"/>
      <c r="H257" s="128"/>
      <c r="I257" s="128"/>
      <c r="J257" s="128"/>
      <c r="K257" s="129"/>
      <c r="L257" s="2" t="s">
        <v>69</v>
      </c>
      <c r="M257" s="83">
        <v>5</v>
      </c>
      <c r="N257" s="47" t="str">
        <f t="shared" si="6"/>
        <v/>
      </c>
      <c r="O257" s="47" t="str">
        <f t="shared" si="7"/>
        <v/>
      </c>
      <c r="P257" s="184"/>
      <c r="Q257" s="205"/>
      <c r="R257" s="206"/>
      <c r="S257" s="207"/>
    </row>
    <row r="258" spans="1:19" ht="14.45">
      <c r="A258" s="134"/>
      <c r="B258" s="141"/>
      <c r="C258" s="138"/>
      <c r="D258" s="136" t="s">
        <v>372</v>
      </c>
      <c r="E258" s="128"/>
      <c r="F258" s="128"/>
      <c r="G258" s="128"/>
      <c r="H258" s="128"/>
      <c r="I258" s="128"/>
      <c r="J258" s="128"/>
      <c r="K258" s="129"/>
      <c r="L258" s="2" t="s">
        <v>69</v>
      </c>
      <c r="M258" s="83">
        <v>5</v>
      </c>
      <c r="N258" s="47" t="str">
        <f t="shared" si="6"/>
        <v/>
      </c>
      <c r="O258" s="47" t="str">
        <f t="shared" si="7"/>
        <v/>
      </c>
      <c r="P258" s="184"/>
      <c r="Q258" s="205"/>
      <c r="R258" s="206"/>
      <c r="S258" s="207"/>
    </row>
    <row r="259" spans="1:19" ht="14.45">
      <c r="A259" s="134"/>
      <c r="B259" s="141"/>
      <c r="C259" s="138"/>
      <c r="D259" s="136" t="s">
        <v>373</v>
      </c>
      <c r="E259" s="128"/>
      <c r="F259" s="128"/>
      <c r="G259" s="128"/>
      <c r="H259" s="128"/>
      <c r="I259" s="128"/>
      <c r="J259" s="128"/>
      <c r="K259" s="129"/>
      <c r="L259" s="2" t="s">
        <v>69</v>
      </c>
      <c r="M259" s="83">
        <v>5</v>
      </c>
      <c r="N259" s="47" t="str">
        <f t="shared" si="6"/>
        <v/>
      </c>
      <c r="O259" s="47" t="str">
        <f t="shared" si="7"/>
        <v/>
      </c>
      <c r="P259" s="184"/>
      <c r="Q259" s="205"/>
      <c r="R259" s="206"/>
      <c r="S259" s="207"/>
    </row>
    <row r="260" spans="1:19" ht="14.45">
      <c r="A260" s="134"/>
      <c r="B260" s="141"/>
      <c r="C260" s="139"/>
      <c r="D260" s="136" t="s">
        <v>374</v>
      </c>
      <c r="E260" s="128"/>
      <c r="F260" s="128"/>
      <c r="G260" s="128"/>
      <c r="H260" s="128"/>
      <c r="I260" s="128"/>
      <c r="J260" s="128"/>
      <c r="K260" s="129"/>
      <c r="L260" s="2" t="s">
        <v>69</v>
      </c>
      <c r="M260" s="83">
        <v>5</v>
      </c>
      <c r="N260" s="47" t="str">
        <f t="shared" si="6"/>
        <v/>
      </c>
      <c r="O260" s="47" t="str">
        <f t="shared" si="7"/>
        <v/>
      </c>
      <c r="P260" s="185"/>
      <c r="Q260" s="208"/>
      <c r="R260" s="209"/>
      <c r="S260" s="210"/>
    </row>
    <row r="261" spans="1:19" ht="14.45">
      <c r="A261" s="134"/>
      <c r="B261" s="141"/>
      <c r="C261" s="23"/>
      <c r="D261" s="186"/>
      <c r="E261" s="122"/>
      <c r="F261" s="122"/>
      <c r="G261" s="122"/>
      <c r="H261" s="122"/>
      <c r="I261" s="122"/>
      <c r="J261" s="122"/>
      <c r="K261" s="123"/>
      <c r="L261" s="2"/>
      <c r="M261" s="47"/>
      <c r="N261" s="47" t="str">
        <f t="shared" ref="N261:N299" si="8">IF(L261="NA","",
IF(L261="Yes",5,
IF(L261="Partial",4,
IF(L261="In Progress",3,
IF(L261="Not clarified",2,
IF(L261="No",0,""))))))</f>
        <v/>
      </c>
      <c r="O261" s="47" t="str">
        <f t="shared" ref="O261:O299" si="9">IF(N261="","",N261*M261)</f>
        <v/>
      </c>
      <c r="P261" s="54"/>
      <c r="Q261" s="121"/>
      <c r="R261" s="122"/>
      <c r="S261" s="123"/>
    </row>
    <row r="262" spans="1:19" ht="14.45">
      <c r="A262" s="134"/>
      <c r="B262" s="141"/>
      <c r="C262" s="140" t="s">
        <v>375</v>
      </c>
      <c r="D262" s="136" t="s">
        <v>376</v>
      </c>
      <c r="E262" s="128"/>
      <c r="F262" s="128"/>
      <c r="G262" s="128"/>
      <c r="H262" s="128"/>
      <c r="I262" s="128"/>
      <c r="J262" s="128"/>
      <c r="K262" s="129"/>
      <c r="L262" s="2" t="s">
        <v>30</v>
      </c>
      <c r="M262" s="83">
        <v>5</v>
      </c>
      <c r="N262" s="47">
        <f t="shared" si="8"/>
        <v>5</v>
      </c>
      <c r="O262" s="47">
        <f t="shared" si="9"/>
        <v>25</v>
      </c>
      <c r="P262" s="183">
        <f>IFERROR(AVERAGE(O262:O264),"")</f>
        <v>21.666666666666668</v>
      </c>
      <c r="Q262" s="376"/>
      <c r="R262" s="374"/>
      <c r="S262" s="375"/>
    </row>
    <row r="263" spans="1:19" ht="14.45">
      <c r="A263" s="134"/>
      <c r="B263" s="141"/>
      <c r="C263" s="141"/>
      <c r="D263" s="136" t="s">
        <v>377</v>
      </c>
      <c r="E263" s="128"/>
      <c r="F263" s="128"/>
      <c r="G263" s="128"/>
      <c r="H263" s="128"/>
      <c r="I263" s="128"/>
      <c r="J263" s="128"/>
      <c r="K263" s="129"/>
      <c r="L263" s="2" t="s">
        <v>30</v>
      </c>
      <c r="M263" s="83">
        <v>4</v>
      </c>
      <c r="N263" s="47">
        <f t="shared" si="8"/>
        <v>5</v>
      </c>
      <c r="O263" s="47">
        <f t="shared" si="9"/>
        <v>20</v>
      </c>
      <c r="P263" s="184"/>
      <c r="Q263" s="376"/>
      <c r="R263" s="374"/>
      <c r="S263" s="375"/>
    </row>
    <row r="264" spans="1:19" ht="14.45">
      <c r="A264" s="135"/>
      <c r="B264" s="142"/>
      <c r="C264" s="142"/>
      <c r="D264" s="136" t="s">
        <v>378</v>
      </c>
      <c r="E264" s="128"/>
      <c r="F264" s="128"/>
      <c r="G264" s="128"/>
      <c r="H264" s="128"/>
      <c r="I264" s="128"/>
      <c r="J264" s="128"/>
      <c r="K264" s="129"/>
      <c r="L264" s="2" t="s">
        <v>30</v>
      </c>
      <c r="M264" s="83">
        <v>4</v>
      </c>
      <c r="N264" s="47">
        <f t="shared" si="8"/>
        <v>5</v>
      </c>
      <c r="O264" s="47">
        <f t="shared" si="9"/>
        <v>20</v>
      </c>
      <c r="P264" s="185"/>
      <c r="Q264" s="121"/>
      <c r="R264" s="122"/>
      <c r="S264" s="123"/>
    </row>
    <row r="265" spans="1:19" ht="14.45">
      <c r="A265" s="59"/>
      <c r="B265" s="4"/>
      <c r="D265" s="143"/>
      <c r="E265" s="144"/>
      <c r="F265" s="144"/>
      <c r="G265" s="144"/>
      <c r="H265" s="144"/>
      <c r="I265" s="144"/>
      <c r="J265" s="144"/>
      <c r="K265" s="145"/>
      <c r="L265" s="2"/>
      <c r="M265" s="47"/>
      <c r="N265" s="47" t="str">
        <f t="shared" si="8"/>
        <v/>
      </c>
      <c r="O265" s="47" t="str">
        <f t="shared" si="9"/>
        <v/>
      </c>
      <c r="P265" s="54"/>
      <c r="Q265" s="121"/>
      <c r="R265" s="122"/>
      <c r="S265" s="123"/>
    </row>
    <row r="266" spans="1:19" ht="14.45">
      <c r="A266" s="133">
        <v>19</v>
      </c>
      <c r="B266" s="140" t="s">
        <v>379</v>
      </c>
      <c r="C266" s="140" t="s">
        <v>380</v>
      </c>
      <c r="D266" s="136" t="s">
        <v>381</v>
      </c>
      <c r="E266" s="128"/>
      <c r="F266" s="128"/>
      <c r="G266" s="128"/>
      <c r="H266" s="128"/>
      <c r="I266" s="128"/>
      <c r="J266" s="128"/>
      <c r="K266" s="129"/>
      <c r="L266" s="2" t="s">
        <v>69</v>
      </c>
      <c r="M266" s="83">
        <v>5</v>
      </c>
      <c r="N266" s="47" t="str">
        <f t="shared" si="8"/>
        <v/>
      </c>
      <c r="O266" s="47" t="str">
        <f t="shared" si="9"/>
        <v/>
      </c>
      <c r="P266" s="183" t="str">
        <f>IFERROR(AVERAGE(O266:O269),"")</f>
        <v/>
      </c>
      <c r="Q266" s="202" t="s">
        <v>382</v>
      </c>
      <c r="R266" s="203"/>
      <c r="S266" s="204"/>
    </row>
    <row r="267" spans="1:19" ht="14.45">
      <c r="A267" s="134"/>
      <c r="B267" s="141"/>
      <c r="C267" s="141"/>
      <c r="D267" s="136" t="s">
        <v>383</v>
      </c>
      <c r="E267" s="128"/>
      <c r="F267" s="128"/>
      <c r="G267" s="128"/>
      <c r="H267" s="128"/>
      <c r="I267" s="128"/>
      <c r="J267" s="128"/>
      <c r="K267" s="129"/>
      <c r="L267" s="2" t="s">
        <v>69</v>
      </c>
      <c r="M267" s="83">
        <v>4</v>
      </c>
      <c r="N267" s="47" t="str">
        <f t="shared" si="8"/>
        <v/>
      </c>
      <c r="O267" s="47" t="str">
        <f t="shared" si="9"/>
        <v/>
      </c>
      <c r="P267" s="184"/>
      <c r="Q267" s="205"/>
      <c r="R267" s="206"/>
      <c r="S267" s="207"/>
    </row>
    <row r="268" spans="1:19" ht="14.45">
      <c r="A268" s="134"/>
      <c r="B268" s="141"/>
      <c r="C268" s="141"/>
      <c r="D268" s="136" t="s">
        <v>384</v>
      </c>
      <c r="E268" s="128"/>
      <c r="F268" s="128"/>
      <c r="G268" s="128"/>
      <c r="H268" s="128"/>
      <c r="I268" s="128"/>
      <c r="J268" s="128"/>
      <c r="K268" s="129"/>
      <c r="L268" s="2" t="s">
        <v>69</v>
      </c>
      <c r="M268" s="83">
        <v>5</v>
      </c>
      <c r="N268" s="47" t="str">
        <f t="shared" si="8"/>
        <v/>
      </c>
      <c r="O268" s="47"/>
      <c r="P268" s="184"/>
      <c r="Q268" s="205"/>
      <c r="R268" s="206"/>
      <c r="S268" s="207"/>
    </row>
    <row r="269" spans="1:19" ht="14.45">
      <c r="A269" s="134"/>
      <c r="B269" s="141"/>
      <c r="C269" s="142"/>
      <c r="D269" s="136" t="s">
        <v>385</v>
      </c>
      <c r="E269" s="128"/>
      <c r="F269" s="128"/>
      <c r="G269" s="128"/>
      <c r="H269" s="128"/>
      <c r="I269" s="128"/>
      <c r="J269" s="128"/>
      <c r="K269" s="129"/>
      <c r="L269" s="2" t="s">
        <v>69</v>
      </c>
      <c r="M269" s="83">
        <v>5</v>
      </c>
      <c r="N269" s="47" t="str">
        <f t="shared" si="8"/>
        <v/>
      </c>
      <c r="O269" s="47" t="str">
        <f t="shared" si="9"/>
        <v/>
      </c>
      <c r="P269" s="185"/>
      <c r="Q269" s="208"/>
      <c r="R269" s="209"/>
      <c r="S269" s="210"/>
    </row>
    <row r="270" spans="1:19" ht="14.45">
      <c r="A270" s="134"/>
      <c r="B270" s="141"/>
      <c r="C270" s="4"/>
      <c r="D270" s="186"/>
      <c r="E270" s="122"/>
      <c r="F270" s="122"/>
      <c r="G270" s="122"/>
      <c r="H270" s="122"/>
      <c r="I270" s="122"/>
      <c r="J270" s="122"/>
      <c r="K270" s="123"/>
      <c r="L270" s="2"/>
      <c r="M270" s="47"/>
      <c r="N270" s="47" t="str">
        <f t="shared" si="8"/>
        <v/>
      </c>
      <c r="O270" s="47" t="str">
        <f t="shared" si="9"/>
        <v/>
      </c>
      <c r="P270" s="54"/>
      <c r="Q270" s="376"/>
      <c r="R270" s="374"/>
      <c r="S270" s="375"/>
    </row>
    <row r="271" spans="1:19" s="72" customFormat="1" ht="35.1" customHeight="1">
      <c r="A271" s="134"/>
      <c r="B271" s="141"/>
      <c r="C271" s="133" t="s">
        <v>386</v>
      </c>
      <c r="D271" s="165" t="s">
        <v>387</v>
      </c>
      <c r="E271" s="166"/>
      <c r="F271" s="166"/>
      <c r="G271" s="166"/>
      <c r="H271" s="166"/>
      <c r="I271" s="166"/>
      <c r="J271" s="166"/>
      <c r="K271" s="167"/>
      <c r="L271" s="104" t="s">
        <v>30</v>
      </c>
      <c r="M271" s="83">
        <v>5</v>
      </c>
      <c r="N271" s="47">
        <f t="shared" si="8"/>
        <v>5</v>
      </c>
      <c r="O271" s="47">
        <f t="shared" si="9"/>
        <v>25</v>
      </c>
      <c r="P271" s="183">
        <f>IFERROR(AVERAGE(O271:O273),"")</f>
        <v>22</v>
      </c>
      <c r="Q271" s="124" t="s">
        <v>388</v>
      </c>
      <c r="R271" s="125"/>
      <c r="S271" s="126"/>
    </row>
    <row r="272" spans="1:19" ht="14.45">
      <c r="A272" s="134"/>
      <c r="B272" s="141"/>
      <c r="C272" s="134"/>
      <c r="D272" s="136" t="s">
        <v>310</v>
      </c>
      <c r="E272" s="128"/>
      <c r="F272" s="128"/>
      <c r="G272" s="128"/>
      <c r="H272" s="128"/>
      <c r="I272" s="128"/>
      <c r="J272" s="128"/>
      <c r="K272" s="129"/>
      <c r="L272" s="2" t="s">
        <v>30</v>
      </c>
      <c r="M272" s="83">
        <v>5</v>
      </c>
      <c r="N272" s="47">
        <f t="shared" si="8"/>
        <v>5</v>
      </c>
      <c r="O272" s="47">
        <f t="shared" si="9"/>
        <v>25</v>
      </c>
      <c r="P272" s="184"/>
      <c r="Q272" s="376" t="s">
        <v>389</v>
      </c>
      <c r="R272" s="374"/>
      <c r="S272" s="375"/>
    </row>
    <row r="273" spans="1:19" ht="14.45">
      <c r="A273" s="135"/>
      <c r="B273" s="142"/>
      <c r="C273" s="135"/>
      <c r="D273" s="136" t="s">
        <v>390</v>
      </c>
      <c r="E273" s="128"/>
      <c r="F273" s="128"/>
      <c r="G273" s="128"/>
      <c r="H273" s="128"/>
      <c r="I273" s="128"/>
      <c r="J273" s="128"/>
      <c r="K273" s="129"/>
      <c r="L273" s="2" t="s">
        <v>52</v>
      </c>
      <c r="M273" s="83">
        <v>4</v>
      </c>
      <c r="N273" s="47">
        <f t="shared" si="8"/>
        <v>4</v>
      </c>
      <c r="O273" s="47">
        <f t="shared" si="9"/>
        <v>16</v>
      </c>
      <c r="P273" s="185"/>
      <c r="Q273" s="376" t="s">
        <v>391</v>
      </c>
      <c r="R273" s="374"/>
      <c r="S273" s="375"/>
    </row>
    <row r="274" spans="1:19" ht="14.45">
      <c r="A274" s="59"/>
      <c r="B274" s="4"/>
      <c r="C274" s="4"/>
      <c r="D274" s="136"/>
      <c r="E274" s="128"/>
      <c r="F274" s="128"/>
      <c r="G274" s="128"/>
      <c r="H274" s="128"/>
      <c r="I274" s="128"/>
      <c r="J274" s="128"/>
      <c r="K274" s="129"/>
      <c r="L274" s="2"/>
      <c r="M274" s="47"/>
      <c r="N274" s="47" t="str">
        <f t="shared" si="8"/>
        <v/>
      </c>
      <c r="O274" s="47" t="str">
        <f t="shared" si="9"/>
        <v/>
      </c>
      <c r="P274" s="54"/>
      <c r="Q274" s="376"/>
      <c r="R274" s="374"/>
      <c r="S274" s="375"/>
    </row>
    <row r="275" spans="1:19" ht="14.45">
      <c r="A275" s="133">
        <v>20</v>
      </c>
      <c r="B275" s="140" t="s">
        <v>392</v>
      </c>
      <c r="C275" s="133" t="s">
        <v>393</v>
      </c>
      <c r="D275" s="136" t="s">
        <v>394</v>
      </c>
      <c r="E275" s="128"/>
      <c r="F275" s="128"/>
      <c r="G275" s="128"/>
      <c r="H275" s="128"/>
      <c r="I275" s="128"/>
      <c r="J275" s="128"/>
      <c r="K275" s="129"/>
      <c r="L275" s="2" t="s">
        <v>30</v>
      </c>
      <c r="M275" s="83">
        <v>5</v>
      </c>
      <c r="N275" s="47">
        <f t="shared" si="8"/>
        <v>5</v>
      </c>
      <c r="O275" s="47">
        <f t="shared" si="9"/>
        <v>25</v>
      </c>
      <c r="P275" s="183">
        <f>IFERROR(AVERAGE(O275:O279),"")</f>
        <v>24</v>
      </c>
      <c r="Q275" s="376" t="s">
        <v>395</v>
      </c>
      <c r="R275" s="374"/>
      <c r="S275" s="375"/>
    </row>
    <row r="276" spans="1:19" ht="14.45">
      <c r="A276" s="134"/>
      <c r="B276" s="141"/>
      <c r="C276" s="134"/>
      <c r="D276" s="136" t="s">
        <v>396</v>
      </c>
      <c r="E276" s="128"/>
      <c r="F276" s="128"/>
      <c r="G276" s="128"/>
      <c r="H276" s="128"/>
      <c r="I276" s="128"/>
      <c r="J276" s="128"/>
      <c r="K276" s="129"/>
      <c r="L276" s="2" t="s">
        <v>30</v>
      </c>
      <c r="M276" s="83">
        <v>5</v>
      </c>
      <c r="N276" s="47">
        <f t="shared" si="8"/>
        <v>5</v>
      </c>
      <c r="O276" s="47">
        <f t="shared" si="9"/>
        <v>25</v>
      </c>
      <c r="P276" s="184"/>
      <c r="Q276" s="376" t="s">
        <v>397</v>
      </c>
      <c r="R276" s="374"/>
      <c r="S276" s="375"/>
    </row>
    <row r="277" spans="1:19" ht="14.45">
      <c r="A277" s="134"/>
      <c r="B277" s="141"/>
      <c r="C277" s="134"/>
      <c r="D277" s="136" t="s">
        <v>398</v>
      </c>
      <c r="E277" s="128"/>
      <c r="F277" s="128"/>
      <c r="G277" s="128"/>
      <c r="H277" s="128"/>
      <c r="I277" s="128"/>
      <c r="J277" s="128"/>
      <c r="K277" s="129"/>
      <c r="L277" s="2" t="s">
        <v>30</v>
      </c>
      <c r="M277" s="83">
        <v>4</v>
      </c>
      <c r="N277" s="47">
        <f t="shared" si="8"/>
        <v>5</v>
      </c>
      <c r="O277" s="47">
        <f t="shared" si="9"/>
        <v>20</v>
      </c>
      <c r="P277" s="184"/>
      <c r="Q277" s="376"/>
      <c r="R277" s="374"/>
      <c r="S277" s="375"/>
    </row>
    <row r="278" spans="1:19" ht="14.45">
      <c r="A278" s="134"/>
      <c r="B278" s="141"/>
      <c r="C278" s="134"/>
      <c r="D278" s="136" t="s">
        <v>399</v>
      </c>
      <c r="E278" s="128"/>
      <c r="F278" s="128"/>
      <c r="G278" s="128"/>
      <c r="H278" s="128"/>
      <c r="I278" s="128"/>
      <c r="J278" s="128"/>
      <c r="K278" s="129"/>
      <c r="L278" s="2" t="s">
        <v>30</v>
      </c>
      <c r="M278" s="83">
        <v>5</v>
      </c>
      <c r="N278" s="47">
        <f t="shared" si="8"/>
        <v>5</v>
      </c>
      <c r="O278" s="47">
        <f t="shared" si="9"/>
        <v>25</v>
      </c>
      <c r="P278" s="184"/>
      <c r="Q278" s="376"/>
      <c r="R278" s="374"/>
      <c r="S278" s="375"/>
    </row>
    <row r="279" spans="1:19" s="72" customFormat="1" ht="35.450000000000003" customHeight="1">
      <c r="A279" s="134"/>
      <c r="B279" s="141"/>
      <c r="C279" s="134"/>
      <c r="D279" s="165" t="s">
        <v>400</v>
      </c>
      <c r="E279" s="166"/>
      <c r="F279" s="166"/>
      <c r="G279" s="166"/>
      <c r="H279" s="166"/>
      <c r="I279" s="166"/>
      <c r="J279" s="166"/>
      <c r="K279" s="167"/>
      <c r="L279" s="104" t="s">
        <v>30</v>
      </c>
      <c r="M279" s="83">
        <v>5</v>
      </c>
      <c r="N279" s="47">
        <f t="shared" si="8"/>
        <v>5</v>
      </c>
      <c r="O279" s="47">
        <f t="shared" si="9"/>
        <v>25</v>
      </c>
      <c r="P279" s="184"/>
      <c r="Q279" s="224" t="s">
        <v>401</v>
      </c>
      <c r="R279" s="225"/>
      <c r="S279" s="226"/>
    </row>
    <row r="280" spans="1:19" ht="14.45">
      <c r="A280" s="135"/>
      <c r="B280" s="142"/>
      <c r="C280" s="135"/>
      <c r="D280" s="136" t="s">
        <v>402</v>
      </c>
      <c r="E280" s="128"/>
      <c r="F280" s="128"/>
      <c r="G280" s="128"/>
      <c r="H280" s="128"/>
      <c r="I280" s="128"/>
      <c r="J280" s="128"/>
      <c r="K280" s="129"/>
      <c r="L280" s="2" t="s">
        <v>30</v>
      </c>
      <c r="M280" s="83">
        <v>4</v>
      </c>
      <c r="N280" s="47">
        <f t="shared" si="8"/>
        <v>5</v>
      </c>
      <c r="O280" s="47">
        <f t="shared" si="9"/>
        <v>20</v>
      </c>
      <c r="P280" s="185"/>
      <c r="Q280" s="121"/>
      <c r="R280" s="122"/>
      <c r="S280" s="123"/>
    </row>
    <row r="281" spans="1:19" ht="14.45">
      <c r="A281" s="59"/>
      <c r="B281" s="4"/>
      <c r="C281" s="4"/>
      <c r="D281" s="136"/>
      <c r="E281" s="128"/>
      <c r="F281" s="128"/>
      <c r="G281" s="128"/>
      <c r="H281" s="128"/>
      <c r="I281" s="128"/>
      <c r="J281" s="128"/>
      <c r="K281" s="129"/>
      <c r="L281" s="14"/>
      <c r="M281" s="47"/>
      <c r="N281" s="47" t="str">
        <f t="shared" si="8"/>
        <v/>
      </c>
      <c r="O281" s="47" t="str">
        <f t="shared" si="9"/>
        <v/>
      </c>
      <c r="P281" s="54"/>
      <c r="Q281" s="376"/>
      <c r="R281" s="374"/>
      <c r="S281" s="375"/>
    </row>
    <row r="282" spans="1:19" ht="14.45">
      <c r="A282" s="133">
        <v>21</v>
      </c>
      <c r="B282" s="140" t="s">
        <v>403</v>
      </c>
      <c r="C282" s="140" t="s">
        <v>404</v>
      </c>
      <c r="D282" s="136" t="s">
        <v>405</v>
      </c>
      <c r="E282" s="128"/>
      <c r="F282" s="128"/>
      <c r="G282" s="128"/>
      <c r="H282" s="128"/>
      <c r="I282" s="128"/>
      <c r="J282" s="128"/>
      <c r="K282" s="129"/>
      <c r="L282" s="2" t="s">
        <v>30</v>
      </c>
      <c r="M282" s="83">
        <v>5</v>
      </c>
      <c r="N282" s="47">
        <f t="shared" si="8"/>
        <v>5</v>
      </c>
      <c r="O282" s="47">
        <f t="shared" si="9"/>
        <v>25</v>
      </c>
      <c r="P282" s="183">
        <f>IFERROR(AVERAGE(O282:O286),"")</f>
        <v>25</v>
      </c>
      <c r="Q282" s="376" t="s">
        <v>406</v>
      </c>
      <c r="R282" s="374"/>
      <c r="S282" s="375"/>
    </row>
    <row r="283" spans="1:19" ht="14.45">
      <c r="A283" s="134"/>
      <c r="B283" s="141"/>
      <c r="C283" s="141"/>
      <c r="D283" s="136" t="s">
        <v>407</v>
      </c>
      <c r="E283" s="128"/>
      <c r="F283" s="128"/>
      <c r="G283" s="128"/>
      <c r="H283" s="128"/>
      <c r="I283" s="128"/>
      <c r="J283" s="128"/>
      <c r="K283" s="129"/>
      <c r="L283" s="2" t="s">
        <v>69</v>
      </c>
      <c r="M283" s="83">
        <v>5</v>
      </c>
      <c r="N283" s="47" t="str">
        <f t="shared" si="8"/>
        <v/>
      </c>
      <c r="O283" s="47" t="str">
        <f t="shared" si="9"/>
        <v/>
      </c>
      <c r="P283" s="184"/>
      <c r="Q283" s="215" t="s">
        <v>408</v>
      </c>
      <c r="R283" s="216"/>
      <c r="S283" s="217"/>
    </row>
    <row r="284" spans="1:19" ht="14.45">
      <c r="A284" s="134"/>
      <c r="B284" s="141"/>
      <c r="C284" s="141"/>
      <c r="D284" s="136" t="s">
        <v>409</v>
      </c>
      <c r="E284" s="128"/>
      <c r="F284" s="128"/>
      <c r="G284" s="128"/>
      <c r="H284" s="128"/>
      <c r="I284" s="128"/>
      <c r="J284" s="128"/>
      <c r="K284" s="129"/>
      <c r="L284" s="2" t="s">
        <v>69</v>
      </c>
      <c r="M284" s="83">
        <v>5</v>
      </c>
      <c r="N284" s="47" t="str">
        <f t="shared" si="8"/>
        <v/>
      </c>
      <c r="O284" s="47" t="str">
        <f t="shared" si="9"/>
        <v/>
      </c>
      <c r="P284" s="184"/>
      <c r="Q284" s="218"/>
      <c r="R284" s="219"/>
      <c r="S284" s="220"/>
    </row>
    <row r="285" spans="1:19" ht="14.45">
      <c r="A285" s="134"/>
      <c r="B285" s="141"/>
      <c r="C285" s="141"/>
      <c r="D285" s="136" t="s">
        <v>410</v>
      </c>
      <c r="E285" s="128"/>
      <c r="F285" s="128"/>
      <c r="G285" s="128"/>
      <c r="H285" s="128"/>
      <c r="I285" s="128"/>
      <c r="J285" s="128"/>
      <c r="K285" s="129"/>
      <c r="L285" s="2" t="s">
        <v>69</v>
      </c>
      <c r="M285" s="83">
        <v>4</v>
      </c>
      <c r="N285" s="47" t="str">
        <f t="shared" si="8"/>
        <v/>
      </c>
      <c r="O285" s="47" t="str">
        <f t="shared" si="9"/>
        <v/>
      </c>
      <c r="P285" s="184"/>
      <c r="Q285" s="218"/>
      <c r="R285" s="219"/>
      <c r="S285" s="220"/>
    </row>
    <row r="286" spans="1:19" ht="14.45">
      <c r="A286" s="135"/>
      <c r="B286" s="142"/>
      <c r="C286" s="142"/>
      <c r="D286" s="136" t="s">
        <v>411</v>
      </c>
      <c r="E286" s="128"/>
      <c r="F286" s="128"/>
      <c r="G286" s="128"/>
      <c r="H286" s="128"/>
      <c r="I286" s="128"/>
      <c r="J286" s="128"/>
      <c r="K286" s="129"/>
      <c r="L286" s="2" t="s">
        <v>69</v>
      </c>
      <c r="M286" s="83">
        <v>4</v>
      </c>
      <c r="N286" s="47" t="str">
        <f t="shared" si="8"/>
        <v/>
      </c>
      <c r="O286" s="47" t="str">
        <f t="shared" si="9"/>
        <v/>
      </c>
      <c r="P286" s="185"/>
      <c r="Q286" s="221"/>
      <c r="R286" s="222"/>
      <c r="S286" s="223"/>
    </row>
    <row r="287" spans="1:19" ht="14.45">
      <c r="A287" s="59"/>
      <c r="B287" s="4"/>
      <c r="C287" s="4"/>
      <c r="D287" s="136"/>
      <c r="E287" s="128"/>
      <c r="F287" s="128"/>
      <c r="G287" s="128"/>
      <c r="H287" s="128"/>
      <c r="I287" s="128"/>
      <c r="J287" s="128"/>
      <c r="K287" s="129"/>
      <c r="L287" s="2"/>
      <c r="M287" s="47"/>
      <c r="N287" s="47" t="str">
        <f t="shared" si="8"/>
        <v/>
      </c>
      <c r="O287" s="47" t="str">
        <f t="shared" si="9"/>
        <v/>
      </c>
      <c r="P287" s="54"/>
      <c r="Q287" s="376"/>
      <c r="R287" s="374"/>
      <c r="S287" s="375"/>
    </row>
    <row r="288" spans="1:19" ht="14.45">
      <c r="A288" s="133">
        <v>22</v>
      </c>
      <c r="B288" s="140" t="s">
        <v>412</v>
      </c>
      <c r="C288" s="133" t="s">
        <v>413</v>
      </c>
      <c r="D288" s="136" t="s">
        <v>414</v>
      </c>
      <c r="E288" s="128"/>
      <c r="F288" s="128"/>
      <c r="G288" s="128"/>
      <c r="H288" s="128"/>
      <c r="I288" s="128"/>
      <c r="J288" s="128"/>
      <c r="K288" s="129"/>
      <c r="L288" s="2" t="s">
        <v>69</v>
      </c>
      <c r="M288" s="83">
        <v>5</v>
      </c>
      <c r="N288" s="47" t="str">
        <f t="shared" si="8"/>
        <v/>
      </c>
      <c r="O288" s="47" t="str">
        <f t="shared" si="9"/>
        <v/>
      </c>
      <c r="P288" s="183" t="str">
        <f>IFERROR(AVERAGE(O288:O294),"")</f>
        <v/>
      </c>
      <c r="Q288" s="202" t="s">
        <v>415</v>
      </c>
      <c r="R288" s="203"/>
      <c r="S288" s="204"/>
    </row>
    <row r="289" spans="1:19" ht="14.45">
      <c r="A289" s="134"/>
      <c r="B289" s="141"/>
      <c r="C289" s="134"/>
      <c r="D289" s="136" t="s">
        <v>416</v>
      </c>
      <c r="E289" s="128"/>
      <c r="F289" s="128"/>
      <c r="G289" s="128"/>
      <c r="H289" s="128"/>
      <c r="I289" s="128"/>
      <c r="J289" s="128"/>
      <c r="K289" s="129"/>
      <c r="L289" s="2" t="s">
        <v>69</v>
      </c>
      <c r="M289" s="83">
        <v>5</v>
      </c>
      <c r="N289" s="47" t="str">
        <f t="shared" si="8"/>
        <v/>
      </c>
      <c r="O289" s="47" t="str">
        <f t="shared" si="9"/>
        <v/>
      </c>
      <c r="P289" s="184"/>
      <c r="Q289" s="205"/>
      <c r="R289" s="206"/>
      <c r="S289" s="207"/>
    </row>
    <row r="290" spans="1:19" ht="14.45">
      <c r="A290" s="134"/>
      <c r="B290" s="141"/>
      <c r="C290" s="134"/>
      <c r="D290" s="136" t="s">
        <v>417</v>
      </c>
      <c r="E290" s="128"/>
      <c r="F290" s="128"/>
      <c r="G290" s="128"/>
      <c r="H290" s="128"/>
      <c r="I290" s="128"/>
      <c r="J290" s="128"/>
      <c r="K290" s="129"/>
      <c r="L290" s="2" t="s">
        <v>69</v>
      </c>
      <c r="M290" s="83">
        <v>4</v>
      </c>
      <c r="N290" s="47" t="str">
        <f>IF(L290="NA","",
IF(L290="Yes",5,
IF(L290="Partial",4,
IF(L290="In Progress",3,
IF(L290="Not clarified",2,
IF(L290="No",0,""))))))</f>
        <v/>
      </c>
      <c r="O290" s="47" t="str">
        <f t="shared" si="9"/>
        <v/>
      </c>
      <c r="P290" s="184"/>
      <c r="Q290" s="205"/>
      <c r="R290" s="206"/>
      <c r="S290" s="207"/>
    </row>
    <row r="291" spans="1:19" ht="14.45">
      <c r="A291" s="134"/>
      <c r="B291" s="141"/>
      <c r="C291" s="134"/>
      <c r="D291" s="136" t="s">
        <v>418</v>
      </c>
      <c r="E291" s="128"/>
      <c r="F291" s="128"/>
      <c r="G291" s="128"/>
      <c r="H291" s="128"/>
      <c r="I291" s="128"/>
      <c r="J291" s="128"/>
      <c r="K291" s="129"/>
      <c r="L291" s="2" t="s">
        <v>69</v>
      </c>
      <c r="M291" s="83">
        <v>4</v>
      </c>
      <c r="N291" s="47" t="str">
        <f t="shared" si="8"/>
        <v/>
      </c>
      <c r="O291" s="47" t="str">
        <f t="shared" si="9"/>
        <v/>
      </c>
      <c r="P291" s="184"/>
      <c r="Q291" s="205"/>
      <c r="R291" s="206"/>
      <c r="S291" s="207"/>
    </row>
    <row r="292" spans="1:19" ht="14.45">
      <c r="A292" s="134"/>
      <c r="B292" s="141"/>
      <c r="C292" s="134"/>
      <c r="D292" s="136" t="s">
        <v>419</v>
      </c>
      <c r="E292" s="128"/>
      <c r="F292" s="128"/>
      <c r="G292" s="128"/>
      <c r="H292" s="128"/>
      <c r="I292" s="128"/>
      <c r="J292" s="128"/>
      <c r="K292" s="129"/>
      <c r="L292" s="2" t="s">
        <v>69</v>
      </c>
      <c r="M292" s="83">
        <v>4</v>
      </c>
      <c r="N292" s="47" t="str">
        <f t="shared" si="8"/>
        <v/>
      </c>
      <c r="O292" s="47" t="str">
        <f t="shared" si="9"/>
        <v/>
      </c>
      <c r="P292" s="184"/>
      <c r="Q292" s="205"/>
      <c r="R292" s="206"/>
      <c r="S292" s="207"/>
    </row>
    <row r="293" spans="1:19" ht="14.45">
      <c r="A293" s="134"/>
      <c r="B293" s="141"/>
      <c r="C293" s="134"/>
      <c r="D293" s="136" t="s">
        <v>420</v>
      </c>
      <c r="E293" s="128"/>
      <c r="F293" s="128"/>
      <c r="G293" s="128"/>
      <c r="H293" s="128"/>
      <c r="I293" s="128"/>
      <c r="J293" s="128"/>
      <c r="K293" s="129"/>
      <c r="L293" s="2" t="s">
        <v>69</v>
      </c>
      <c r="M293" s="83">
        <v>5</v>
      </c>
      <c r="N293" s="47" t="str">
        <f t="shared" si="8"/>
        <v/>
      </c>
      <c r="O293" s="47" t="str">
        <f t="shared" si="9"/>
        <v/>
      </c>
      <c r="P293" s="184"/>
      <c r="Q293" s="205"/>
      <c r="R293" s="206"/>
      <c r="S293" s="207"/>
    </row>
    <row r="294" spans="1:19" ht="14.45">
      <c r="A294" s="135"/>
      <c r="B294" s="142"/>
      <c r="C294" s="135"/>
      <c r="D294" s="136" t="s">
        <v>421</v>
      </c>
      <c r="E294" s="128"/>
      <c r="F294" s="128"/>
      <c r="G294" s="128"/>
      <c r="H294" s="128"/>
      <c r="I294" s="128"/>
      <c r="J294" s="128"/>
      <c r="K294" s="129"/>
      <c r="L294" s="2" t="s">
        <v>69</v>
      </c>
      <c r="M294" s="83">
        <v>5</v>
      </c>
      <c r="N294" s="47" t="str">
        <f t="shared" si="8"/>
        <v/>
      </c>
      <c r="O294" s="47" t="str">
        <f t="shared" si="9"/>
        <v/>
      </c>
      <c r="P294" s="185"/>
      <c r="Q294" s="208"/>
      <c r="R294" s="209"/>
      <c r="S294" s="210"/>
    </row>
    <row r="295" spans="1:19" ht="14.45">
      <c r="A295" s="59"/>
      <c r="B295" s="4"/>
      <c r="C295" s="13"/>
      <c r="D295" s="136"/>
      <c r="E295" s="128"/>
      <c r="F295" s="128"/>
      <c r="G295" s="128"/>
      <c r="H295" s="128"/>
      <c r="I295" s="128"/>
      <c r="J295" s="128"/>
      <c r="K295" s="129"/>
      <c r="L295" s="2"/>
      <c r="M295" s="47"/>
      <c r="N295" s="47" t="str">
        <f t="shared" si="8"/>
        <v/>
      </c>
      <c r="O295" s="47" t="str">
        <f t="shared" si="9"/>
        <v/>
      </c>
      <c r="P295" s="54"/>
      <c r="Q295" s="376"/>
      <c r="R295" s="374"/>
      <c r="S295" s="375"/>
    </row>
    <row r="296" spans="1:19" ht="14.45">
      <c r="A296" s="133">
        <v>23</v>
      </c>
      <c r="B296" s="153" t="s">
        <v>422</v>
      </c>
      <c r="C296" s="71" t="s">
        <v>423</v>
      </c>
      <c r="D296" s="165" t="s">
        <v>424</v>
      </c>
      <c r="E296" s="166"/>
      <c r="F296" s="166"/>
      <c r="G296" s="166"/>
      <c r="H296" s="166"/>
      <c r="I296" s="166"/>
      <c r="J296" s="166"/>
      <c r="K296" s="167"/>
      <c r="L296" s="2" t="s">
        <v>69</v>
      </c>
      <c r="M296" s="83">
        <v>5</v>
      </c>
      <c r="N296" s="47" t="str">
        <f t="shared" si="8"/>
        <v/>
      </c>
      <c r="O296" s="47" t="str">
        <f t="shared" si="9"/>
        <v/>
      </c>
      <c r="P296" s="199" t="str">
        <f>IFERROR(AVERAGE(O296:O299),"")</f>
        <v/>
      </c>
      <c r="Q296" s="190" t="s">
        <v>425</v>
      </c>
      <c r="R296" s="191"/>
      <c r="S296" s="192"/>
    </row>
    <row r="297" spans="1:19" ht="14.45">
      <c r="A297" s="134"/>
      <c r="B297" s="154"/>
      <c r="C297" s="71" t="s">
        <v>426</v>
      </c>
      <c r="D297" s="136" t="s">
        <v>427</v>
      </c>
      <c r="E297" s="128"/>
      <c r="F297" s="128"/>
      <c r="G297" s="128"/>
      <c r="H297" s="128"/>
      <c r="I297" s="128"/>
      <c r="J297" s="128"/>
      <c r="K297" s="129"/>
      <c r="L297" s="2" t="s">
        <v>69</v>
      </c>
      <c r="M297" s="83">
        <v>4</v>
      </c>
      <c r="N297" s="47" t="str">
        <f t="shared" si="8"/>
        <v/>
      </c>
      <c r="O297" s="47" t="str">
        <f t="shared" si="9"/>
        <v/>
      </c>
      <c r="P297" s="200"/>
      <c r="Q297" s="193"/>
      <c r="R297" s="194"/>
      <c r="S297" s="195"/>
    </row>
    <row r="298" spans="1:19" ht="14.45">
      <c r="A298" s="134"/>
      <c r="B298" s="154"/>
      <c r="C298" s="71" t="s">
        <v>428</v>
      </c>
      <c r="D298" s="136" t="s">
        <v>429</v>
      </c>
      <c r="E298" s="128"/>
      <c r="F298" s="128"/>
      <c r="G298" s="128"/>
      <c r="H298" s="128"/>
      <c r="I298" s="128"/>
      <c r="J298" s="128"/>
      <c r="K298" s="129"/>
      <c r="L298" s="2" t="s">
        <v>69</v>
      </c>
      <c r="M298" s="83">
        <v>5</v>
      </c>
      <c r="N298" s="47" t="str">
        <f t="shared" si="8"/>
        <v/>
      </c>
      <c r="O298" s="47" t="str">
        <f t="shared" si="9"/>
        <v/>
      </c>
      <c r="P298" s="200"/>
      <c r="Q298" s="193"/>
      <c r="R298" s="194"/>
      <c r="S298" s="195"/>
    </row>
    <row r="299" spans="1:19" ht="14.45">
      <c r="A299" s="135"/>
      <c r="B299" s="155"/>
      <c r="C299" s="71" t="s">
        <v>430</v>
      </c>
      <c r="D299" s="136" t="s">
        <v>431</v>
      </c>
      <c r="E299" s="128"/>
      <c r="F299" s="128"/>
      <c r="G299" s="128"/>
      <c r="H299" s="128"/>
      <c r="I299" s="128"/>
      <c r="J299" s="128"/>
      <c r="K299" s="129"/>
      <c r="L299" s="2" t="s">
        <v>69</v>
      </c>
      <c r="M299" s="83">
        <v>4</v>
      </c>
      <c r="N299" s="47" t="str">
        <f t="shared" si="8"/>
        <v/>
      </c>
      <c r="O299" s="47" t="str">
        <f t="shared" si="9"/>
        <v/>
      </c>
      <c r="P299" s="201"/>
      <c r="Q299" s="196"/>
      <c r="R299" s="197"/>
      <c r="S299" s="198"/>
    </row>
    <row r="300" spans="1:19" ht="14.45">
      <c r="A300" s="61"/>
      <c r="B300" s="13"/>
      <c r="C300" s="26"/>
      <c r="D300" s="136"/>
      <c r="E300" s="128"/>
      <c r="F300" s="128"/>
      <c r="G300" s="128"/>
      <c r="H300" s="128"/>
      <c r="I300" s="128"/>
      <c r="J300" s="128"/>
      <c r="K300" s="129"/>
      <c r="L300" s="2"/>
      <c r="M300" s="47"/>
      <c r="N300" s="47"/>
      <c r="O300" s="47"/>
      <c r="P300" s="54"/>
      <c r="Q300" s="376"/>
      <c r="R300" s="374"/>
      <c r="S300" s="375"/>
    </row>
    <row r="301" spans="1:19" s="5" customFormat="1" ht="21">
      <c r="A301" s="318" t="s">
        <v>432</v>
      </c>
      <c r="B301" s="318"/>
      <c r="C301" s="25"/>
      <c r="D301" s="319"/>
      <c r="E301" s="320"/>
      <c r="F301" s="320"/>
      <c r="G301" s="320"/>
      <c r="H301" s="320"/>
      <c r="I301" s="320"/>
      <c r="J301" s="320"/>
      <c r="K301" s="321"/>
      <c r="L301" s="89">
        <v>71</v>
      </c>
      <c r="M301" s="86"/>
      <c r="N301" s="47"/>
      <c r="O301" s="30"/>
      <c r="P301" s="88"/>
      <c r="Q301" s="383"/>
      <c r="R301" s="384"/>
      <c r="S301" s="385"/>
    </row>
    <row r="302" spans="1:19" ht="14.45">
      <c r="N302" s="53"/>
    </row>
    <row r="303" spans="1:19" ht="14.45">
      <c r="N303" s="53"/>
    </row>
    <row r="304" spans="1:19" ht="14.45">
      <c r="N304" s="53"/>
    </row>
    <row r="305" spans="3:3" ht="21">
      <c r="C305" s="24"/>
    </row>
  </sheetData>
  <mergeCells count="633">
    <mergeCell ref="D94:K94"/>
    <mergeCell ref="D215:K215"/>
    <mergeCell ref="Q215:S215"/>
    <mergeCell ref="D193:K193"/>
    <mergeCell ref="Q197:S197"/>
    <mergeCell ref="D195:K195"/>
    <mergeCell ref="Q195:S195"/>
    <mergeCell ref="D196:K196"/>
    <mergeCell ref="Q205:S205"/>
    <mergeCell ref="Q190:S190"/>
    <mergeCell ref="D191:K191"/>
    <mergeCell ref="Q191:S191"/>
    <mergeCell ref="D192:K192"/>
    <mergeCell ref="Q213:S213"/>
    <mergeCell ref="P193:P197"/>
    <mergeCell ref="P186:P191"/>
    <mergeCell ref="Q187:S187"/>
    <mergeCell ref="D194:K194"/>
    <mergeCell ref="D190:K190"/>
    <mergeCell ref="D189:K189"/>
    <mergeCell ref="Q206:S206"/>
    <mergeCell ref="Q207:S210"/>
    <mergeCell ref="D208:K208"/>
    <mergeCell ref="D209:K209"/>
    <mergeCell ref="D99:K99"/>
    <mergeCell ref="D110:K110"/>
    <mergeCell ref="D117:K117"/>
    <mergeCell ref="D119:K119"/>
    <mergeCell ref="Q115:S119"/>
    <mergeCell ref="Q106:S106"/>
    <mergeCell ref="D101:K101"/>
    <mergeCell ref="D95:K95"/>
    <mergeCell ref="D97:K97"/>
    <mergeCell ref="D96:K96"/>
    <mergeCell ref="D113:K113"/>
    <mergeCell ref="D108:K108"/>
    <mergeCell ref="D109:K109"/>
    <mergeCell ref="D121:K121"/>
    <mergeCell ref="D122:K122"/>
    <mergeCell ref="Q121:S121"/>
    <mergeCell ref="D73:K73"/>
    <mergeCell ref="D74:K74"/>
    <mergeCell ref="D93:K93"/>
    <mergeCell ref="P95:P105"/>
    <mergeCell ref="D98:K98"/>
    <mergeCell ref="D86:K86"/>
    <mergeCell ref="D79:K79"/>
    <mergeCell ref="P85:P93"/>
    <mergeCell ref="P71:P83"/>
    <mergeCell ref="D90:K90"/>
    <mergeCell ref="D91:K91"/>
    <mergeCell ref="D102:K102"/>
    <mergeCell ref="D105:K105"/>
    <mergeCell ref="D100:K100"/>
    <mergeCell ref="D89:K89"/>
    <mergeCell ref="D71:K71"/>
    <mergeCell ref="Q89:S89"/>
    <mergeCell ref="Q94:S94"/>
    <mergeCell ref="D120:K120"/>
    <mergeCell ref="D107:K107"/>
    <mergeCell ref="V14:AA14"/>
    <mergeCell ref="D280:K280"/>
    <mergeCell ref="D201:K201"/>
    <mergeCell ref="D218:K218"/>
    <mergeCell ref="D219:K219"/>
    <mergeCell ref="D250:K250"/>
    <mergeCell ref="D185:K185"/>
    <mergeCell ref="D254:K254"/>
    <mergeCell ref="D269:K269"/>
    <mergeCell ref="D82:K82"/>
    <mergeCell ref="D153:K153"/>
    <mergeCell ref="D172:K172"/>
    <mergeCell ref="D160:K160"/>
    <mergeCell ref="D159:K159"/>
    <mergeCell ref="D156:K156"/>
    <mergeCell ref="D165:K165"/>
    <mergeCell ref="D150:K150"/>
    <mergeCell ref="Q63:S63"/>
    <mergeCell ref="P29:P36"/>
    <mergeCell ref="Q31:S31"/>
    <mergeCell ref="D128:K128"/>
    <mergeCell ref="Q95:S105"/>
    <mergeCell ref="Q107:S111"/>
    <mergeCell ref="D111:K111"/>
    <mergeCell ref="Q30:S30"/>
    <mergeCell ref="D49:K49"/>
    <mergeCell ref="Q55:S55"/>
    <mergeCell ref="Q51:S51"/>
    <mergeCell ref="Q52:S52"/>
    <mergeCell ref="D57:K57"/>
    <mergeCell ref="Q68:S68"/>
    <mergeCell ref="Q65:S65"/>
    <mergeCell ref="D67:K67"/>
    <mergeCell ref="Q60:S61"/>
    <mergeCell ref="Q50:S50"/>
    <mergeCell ref="Q58:S58"/>
    <mergeCell ref="D68:K68"/>
    <mergeCell ref="P60:P69"/>
    <mergeCell ref="P56:P58"/>
    <mergeCell ref="P48:P54"/>
    <mergeCell ref="D64:K64"/>
    <mergeCell ref="D63:K63"/>
    <mergeCell ref="Q40:S40"/>
    <mergeCell ref="Q49:S49"/>
    <mergeCell ref="Q64:S64"/>
    <mergeCell ref="Q47:S47"/>
    <mergeCell ref="Q62:S62"/>
    <mergeCell ref="Q53:S53"/>
    <mergeCell ref="D26:K26"/>
    <mergeCell ref="D27:K27"/>
    <mergeCell ref="D22:K22"/>
    <mergeCell ref="D36:K36"/>
    <mergeCell ref="D56:K56"/>
    <mergeCell ref="D59:K59"/>
    <mergeCell ref="D54:K54"/>
    <mergeCell ref="D55:K55"/>
    <mergeCell ref="D50:K50"/>
    <mergeCell ref="D51:K51"/>
    <mergeCell ref="D52:K52"/>
    <mergeCell ref="D42:K42"/>
    <mergeCell ref="D58:K58"/>
    <mergeCell ref="D47:K47"/>
    <mergeCell ref="E9:F9"/>
    <mergeCell ref="D11:K11"/>
    <mergeCell ref="Q11:S11"/>
    <mergeCell ref="Q14:S14"/>
    <mergeCell ref="J7:O7"/>
    <mergeCell ref="D46:K46"/>
    <mergeCell ref="Q27:S27"/>
    <mergeCell ref="Q28:S28"/>
    <mergeCell ref="Q29:S29"/>
    <mergeCell ref="Q37:S37"/>
    <mergeCell ref="Q39:S39"/>
    <mergeCell ref="Q38:S38"/>
    <mergeCell ref="P24:P27"/>
    <mergeCell ref="D17:K17"/>
    <mergeCell ref="Q17:S17"/>
    <mergeCell ref="D12:K12"/>
    <mergeCell ref="Q12:S12"/>
    <mergeCell ref="D14:K14"/>
    <mergeCell ref="D41:K41"/>
    <mergeCell ref="Q21:S21"/>
    <mergeCell ref="Q22:S22"/>
    <mergeCell ref="D28:K28"/>
    <mergeCell ref="Q35:S36"/>
    <mergeCell ref="D25:K25"/>
    <mergeCell ref="A301:B301"/>
    <mergeCell ref="D301:K301"/>
    <mergeCell ref="Q124:S124"/>
    <mergeCell ref="Q123:S123"/>
    <mergeCell ref="D135:K135"/>
    <mergeCell ref="D133:K133"/>
    <mergeCell ref="Q133:S133"/>
    <mergeCell ref="D123:K123"/>
    <mergeCell ref="D285:K285"/>
    <mergeCell ref="D131:K131"/>
    <mergeCell ref="Q131:S131"/>
    <mergeCell ref="D148:K148"/>
    <mergeCell ref="D127:K127"/>
    <mergeCell ref="D130:K130"/>
    <mergeCell ref="Q125:S125"/>
    <mergeCell ref="Q154:S154"/>
    <mergeCell ref="Q236:S236"/>
    <mergeCell ref="Q126:S126"/>
    <mergeCell ref="Q127:S127"/>
    <mergeCell ref="Q204:S204"/>
    <mergeCell ref="D206:K206"/>
    <mergeCell ref="D210:K210"/>
    <mergeCell ref="P212:P216"/>
    <mergeCell ref="P207:P210"/>
    <mergeCell ref="Q16:S16"/>
    <mergeCell ref="Q25:S25"/>
    <mergeCell ref="Q26:S26"/>
    <mergeCell ref="A3:B3"/>
    <mergeCell ref="A4:B4"/>
    <mergeCell ref="A5:B5"/>
    <mergeCell ref="A6:B6"/>
    <mergeCell ref="J3:O3"/>
    <mergeCell ref="J4:O4"/>
    <mergeCell ref="J5:O5"/>
    <mergeCell ref="J6:O6"/>
    <mergeCell ref="D13:K13"/>
    <mergeCell ref="D21:K21"/>
    <mergeCell ref="D18:K18"/>
    <mergeCell ref="Q18:S18"/>
    <mergeCell ref="D19:K19"/>
    <mergeCell ref="D24:K24"/>
    <mergeCell ref="Q20:S20"/>
    <mergeCell ref="D23:K23"/>
    <mergeCell ref="D20:K20"/>
    <mergeCell ref="Q24:S24"/>
    <mergeCell ref="Q23:S23"/>
    <mergeCell ref="Q19:S19"/>
    <mergeCell ref="P12:P22"/>
    <mergeCell ref="A1:O1"/>
    <mergeCell ref="H5:I5"/>
    <mergeCell ref="C6:G6"/>
    <mergeCell ref="H6:I6"/>
    <mergeCell ref="C3:G3"/>
    <mergeCell ref="H3:I3"/>
    <mergeCell ref="C4:G4"/>
    <mergeCell ref="H4:I4"/>
    <mergeCell ref="A7:B7"/>
    <mergeCell ref="C5:G5"/>
    <mergeCell ref="C7:G7"/>
    <mergeCell ref="H7:I7"/>
    <mergeCell ref="Q13:S13"/>
    <mergeCell ref="D15:K15"/>
    <mergeCell ref="Q15:S15"/>
    <mergeCell ref="D16:K16"/>
    <mergeCell ref="C12:C22"/>
    <mergeCell ref="C24:C27"/>
    <mergeCell ref="P38:P46"/>
    <mergeCell ref="D48:K48"/>
    <mergeCell ref="D44:K44"/>
    <mergeCell ref="D39:K39"/>
    <mergeCell ref="D43:K43"/>
    <mergeCell ref="D40:K40"/>
    <mergeCell ref="D38:K38"/>
    <mergeCell ref="C29:C36"/>
    <mergeCell ref="C38:C46"/>
    <mergeCell ref="C48:C54"/>
    <mergeCell ref="Q43:S43"/>
    <mergeCell ref="Q34:S34"/>
    <mergeCell ref="Q33:S33"/>
    <mergeCell ref="Q32:S32"/>
    <mergeCell ref="Q45:S45"/>
    <mergeCell ref="Q44:S44"/>
    <mergeCell ref="Q48:S48"/>
    <mergeCell ref="Q46:S46"/>
    <mergeCell ref="D72:K72"/>
    <mergeCell ref="D87:K87"/>
    <mergeCell ref="D83:K83"/>
    <mergeCell ref="D84:K84"/>
    <mergeCell ref="D85:K85"/>
    <mergeCell ref="Q90:S90"/>
    <mergeCell ref="Q91:S91"/>
    <mergeCell ref="Q93:S93"/>
    <mergeCell ref="Q84:S84"/>
    <mergeCell ref="Q85:S85"/>
    <mergeCell ref="Q86:S86"/>
    <mergeCell ref="Q92:S92"/>
    <mergeCell ref="D78:K78"/>
    <mergeCell ref="D75:K75"/>
    <mergeCell ref="D77:K77"/>
    <mergeCell ref="D80:K80"/>
    <mergeCell ref="D76:K76"/>
    <mergeCell ref="D81:K81"/>
    <mergeCell ref="D88:K88"/>
    <mergeCell ref="Q87:S87"/>
    <mergeCell ref="Q71:S83"/>
    <mergeCell ref="D92:K92"/>
    <mergeCell ref="P132:P137"/>
    <mergeCell ref="P107:P111"/>
    <mergeCell ref="P125:P130"/>
    <mergeCell ref="P121:P123"/>
    <mergeCell ref="P113:P119"/>
    <mergeCell ref="Q88:S88"/>
    <mergeCell ref="Q153:S153"/>
    <mergeCell ref="Q152:S152"/>
    <mergeCell ref="Q151:S151"/>
    <mergeCell ref="Q150:S150"/>
    <mergeCell ref="Q149:S149"/>
    <mergeCell ref="Q148:S148"/>
    <mergeCell ref="Q147:S147"/>
    <mergeCell ref="Q146:S146"/>
    <mergeCell ref="Q145:S145"/>
    <mergeCell ref="Q144:S144"/>
    <mergeCell ref="Q113:S113"/>
    <mergeCell ref="Q114:S114"/>
    <mergeCell ref="D141:K141"/>
    <mergeCell ref="D164:K164"/>
    <mergeCell ref="D158:K158"/>
    <mergeCell ref="Q163:S168"/>
    <mergeCell ref="D157:K157"/>
    <mergeCell ref="Q139:S140"/>
    <mergeCell ref="P199:P205"/>
    <mergeCell ref="D197:K197"/>
    <mergeCell ref="Q189:S189"/>
    <mergeCell ref="Q194:S194"/>
    <mergeCell ref="P139:P153"/>
    <mergeCell ref="D161:K161"/>
    <mergeCell ref="D183:K183"/>
    <mergeCell ref="D125:K125"/>
    <mergeCell ref="D126:K126"/>
    <mergeCell ref="Q120:S120"/>
    <mergeCell ref="Q128:S130"/>
    <mergeCell ref="D179:K179"/>
    <mergeCell ref="D155:K155"/>
    <mergeCell ref="P179:P184"/>
    <mergeCell ref="P173:P177"/>
    <mergeCell ref="P163:P168"/>
    <mergeCell ref="P155:P161"/>
    <mergeCell ref="D132:K132"/>
    <mergeCell ref="D136:K136"/>
    <mergeCell ref="D173:K173"/>
    <mergeCell ref="D175:K175"/>
    <mergeCell ref="D137:K137"/>
    <mergeCell ref="D134:K134"/>
    <mergeCell ref="D170:K170"/>
    <mergeCell ref="D166:K166"/>
    <mergeCell ref="D139:K139"/>
    <mergeCell ref="D152:K152"/>
    <mergeCell ref="D140:K140"/>
    <mergeCell ref="D154:K154"/>
    <mergeCell ref="D167:K167"/>
    <mergeCell ref="D177:K177"/>
    <mergeCell ref="D174:K174"/>
    <mergeCell ref="Q122:S122"/>
    <mergeCell ref="D114:K114"/>
    <mergeCell ref="D115:K115"/>
    <mergeCell ref="D180:K180"/>
    <mergeCell ref="D138:K138"/>
    <mergeCell ref="D147:K147"/>
    <mergeCell ref="D142:K142"/>
    <mergeCell ref="D143:K143"/>
    <mergeCell ref="D144:K144"/>
    <mergeCell ref="D145:K145"/>
    <mergeCell ref="D129:K129"/>
    <mergeCell ref="D151:K151"/>
    <mergeCell ref="D116:K116"/>
    <mergeCell ref="D118:K118"/>
    <mergeCell ref="Q155:S155"/>
    <mergeCell ref="Q156:S156"/>
    <mergeCell ref="Q157:S157"/>
    <mergeCell ref="Q158:S158"/>
    <mergeCell ref="Q159:S159"/>
    <mergeCell ref="Q173:S173"/>
    <mergeCell ref="Q174:S174"/>
    <mergeCell ref="Q199:S199"/>
    <mergeCell ref="Q203:S203"/>
    <mergeCell ref="D213:K213"/>
    <mergeCell ref="Q217:S217"/>
    <mergeCell ref="Q216:S216"/>
    <mergeCell ref="D205:K205"/>
    <mergeCell ref="D200:K200"/>
    <mergeCell ref="D202:K202"/>
    <mergeCell ref="D214:K214"/>
    <mergeCell ref="Q211:S211"/>
    <mergeCell ref="Q212:S212"/>
    <mergeCell ref="Q214:S214"/>
    <mergeCell ref="D211:K211"/>
    <mergeCell ref="Q200:S200"/>
    <mergeCell ref="Q201:S201"/>
    <mergeCell ref="Q202:S202"/>
    <mergeCell ref="D217:K217"/>
    <mergeCell ref="D204:K204"/>
    <mergeCell ref="D199:K199"/>
    <mergeCell ref="D203:K203"/>
    <mergeCell ref="D207:K207"/>
    <mergeCell ref="D212:K212"/>
    <mergeCell ref="Q232:S232"/>
    <mergeCell ref="Q226:S231"/>
    <mergeCell ref="D236:K236"/>
    <mergeCell ref="Q233:S233"/>
    <mergeCell ref="Q234:S234"/>
    <mergeCell ref="Q224:S224"/>
    <mergeCell ref="D221:K221"/>
    <mergeCell ref="Q223:S223"/>
    <mergeCell ref="D226:K226"/>
    <mergeCell ref="D231:K231"/>
    <mergeCell ref="D233:K233"/>
    <mergeCell ref="D234:K234"/>
    <mergeCell ref="D232:K232"/>
    <mergeCell ref="P218:P224"/>
    <mergeCell ref="Q220:S220"/>
    <mergeCell ref="Q221:S221"/>
    <mergeCell ref="D220:K220"/>
    <mergeCell ref="D223:K223"/>
    <mergeCell ref="Q222:S222"/>
    <mergeCell ref="Q219:S219"/>
    <mergeCell ref="Q218:S218"/>
    <mergeCell ref="Q241:S241"/>
    <mergeCell ref="Q235:S235"/>
    <mergeCell ref="Q246:S246"/>
    <mergeCell ref="Q245:S245"/>
    <mergeCell ref="Q244:S244"/>
    <mergeCell ref="D242:K242"/>
    <mergeCell ref="D243:K243"/>
    <mergeCell ref="D244:K244"/>
    <mergeCell ref="D245:K245"/>
    <mergeCell ref="Q242:S242"/>
    <mergeCell ref="Q243:S243"/>
    <mergeCell ref="Q239:S239"/>
    <mergeCell ref="Q240:S240"/>
    <mergeCell ref="D237:K237"/>
    <mergeCell ref="Q237:S237"/>
    <mergeCell ref="Q238:S238"/>
    <mergeCell ref="Q247:S253"/>
    <mergeCell ref="Q255:S260"/>
    <mergeCell ref="Q261:S261"/>
    <mergeCell ref="Q264:S264"/>
    <mergeCell ref="Q265:S265"/>
    <mergeCell ref="Q263:S263"/>
    <mergeCell ref="Q262:S262"/>
    <mergeCell ref="D264:K264"/>
    <mergeCell ref="D259:K259"/>
    <mergeCell ref="D261:K261"/>
    <mergeCell ref="D260:K260"/>
    <mergeCell ref="D256:K256"/>
    <mergeCell ref="D247:K247"/>
    <mergeCell ref="D252:K252"/>
    <mergeCell ref="D263:K263"/>
    <mergeCell ref="D262:K262"/>
    <mergeCell ref="D248:K248"/>
    <mergeCell ref="D249:K249"/>
    <mergeCell ref="D251:K251"/>
    <mergeCell ref="D253:K253"/>
    <mergeCell ref="D257:K257"/>
    <mergeCell ref="Q280:S280"/>
    <mergeCell ref="Q279:S279"/>
    <mergeCell ref="D267:K267"/>
    <mergeCell ref="D268:K268"/>
    <mergeCell ref="Q270:S270"/>
    <mergeCell ref="Q281:S281"/>
    <mergeCell ref="D282:K282"/>
    <mergeCell ref="Q282:S282"/>
    <mergeCell ref="D273:K273"/>
    <mergeCell ref="Q273:S273"/>
    <mergeCell ref="D274:K274"/>
    <mergeCell ref="Q275:S275"/>
    <mergeCell ref="Q278:S278"/>
    <mergeCell ref="D278:K278"/>
    <mergeCell ref="Q274:S274"/>
    <mergeCell ref="Q276:S276"/>
    <mergeCell ref="D277:K277"/>
    <mergeCell ref="D271:K271"/>
    <mergeCell ref="Q271:S271"/>
    <mergeCell ref="Q277:S277"/>
    <mergeCell ref="D270:K270"/>
    <mergeCell ref="Q266:S269"/>
    <mergeCell ref="D272:K272"/>
    <mergeCell ref="Q272:S272"/>
    <mergeCell ref="P288:P294"/>
    <mergeCell ref="Q287:S287"/>
    <mergeCell ref="D225:K225"/>
    <mergeCell ref="D224:K224"/>
    <mergeCell ref="D230:K230"/>
    <mergeCell ref="D235:K235"/>
    <mergeCell ref="D246:K246"/>
    <mergeCell ref="P247:P253"/>
    <mergeCell ref="P242:P245"/>
    <mergeCell ref="P239:P240"/>
    <mergeCell ref="P233:P237"/>
    <mergeCell ref="P226:P231"/>
    <mergeCell ref="D239:K239"/>
    <mergeCell ref="D240:K240"/>
    <mergeCell ref="D229:K229"/>
    <mergeCell ref="D227:K227"/>
    <mergeCell ref="D228:K228"/>
    <mergeCell ref="D238:K238"/>
    <mergeCell ref="P282:P286"/>
    <mergeCell ref="Q283:S286"/>
    <mergeCell ref="D283:K283"/>
    <mergeCell ref="D286:K286"/>
    <mergeCell ref="D276:K276"/>
    <mergeCell ref="D279:K279"/>
    <mergeCell ref="D146:K146"/>
    <mergeCell ref="D149:K149"/>
    <mergeCell ref="D178:K178"/>
    <mergeCell ref="D163:K163"/>
    <mergeCell ref="D168:K168"/>
    <mergeCell ref="D169:K169"/>
    <mergeCell ref="Q301:S301"/>
    <mergeCell ref="D294:K294"/>
    <mergeCell ref="D291:K291"/>
    <mergeCell ref="D292:K292"/>
    <mergeCell ref="D289:K289"/>
    <mergeCell ref="D290:K290"/>
    <mergeCell ref="D293:K293"/>
    <mergeCell ref="D299:K299"/>
    <mergeCell ref="D300:K300"/>
    <mergeCell ref="Q300:S300"/>
    <mergeCell ref="D297:K297"/>
    <mergeCell ref="D298:K298"/>
    <mergeCell ref="D295:K295"/>
    <mergeCell ref="Q295:S295"/>
    <mergeCell ref="D296:K296"/>
    <mergeCell ref="Q296:S299"/>
    <mergeCell ref="P296:P299"/>
    <mergeCell ref="Q288:S294"/>
    <mergeCell ref="P275:P280"/>
    <mergeCell ref="P271:P273"/>
    <mergeCell ref="P266:P269"/>
    <mergeCell ref="P262:P264"/>
    <mergeCell ref="P255:P260"/>
    <mergeCell ref="C275:C280"/>
    <mergeCell ref="D222:K222"/>
    <mergeCell ref="C172:C177"/>
    <mergeCell ref="C199:C205"/>
    <mergeCell ref="C207:C210"/>
    <mergeCell ref="C212:C216"/>
    <mergeCell ref="C218:C224"/>
    <mergeCell ref="D181:K181"/>
    <mergeCell ref="D182:K182"/>
    <mergeCell ref="D184:K184"/>
    <mergeCell ref="D176:K176"/>
    <mergeCell ref="D186:K186"/>
    <mergeCell ref="D187:K187"/>
    <mergeCell ref="D188:K188"/>
    <mergeCell ref="D198:K198"/>
    <mergeCell ref="C226:C231"/>
    <mergeCell ref="C233:C237"/>
    <mergeCell ref="C239:C240"/>
    <mergeCell ref="C242:C245"/>
    <mergeCell ref="C247:C253"/>
    <mergeCell ref="C113:C119"/>
    <mergeCell ref="B121:B123"/>
    <mergeCell ref="B60:B69"/>
    <mergeCell ref="C132:C137"/>
    <mergeCell ref="B125:B137"/>
    <mergeCell ref="B139:B168"/>
    <mergeCell ref="B172:B177"/>
    <mergeCell ref="B193:B197"/>
    <mergeCell ref="C139:C153"/>
    <mergeCell ref="C155:C161"/>
    <mergeCell ref="C163:C168"/>
    <mergeCell ref="C179:C184"/>
    <mergeCell ref="C186:C191"/>
    <mergeCell ref="C193:C197"/>
    <mergeCell ref="D70:K70"/>
    <mergeCell ref="C56:C58"/>
    <mergeCell ref="C60:C69"/>
    <mergeCell ref="D45:K45"/>
    <mergeCell ref="D29:K29"/>
    <mergeCell ref="D31:K31"/>
    <mergeCell ref="D35:K35"/>
    <mergeCell ref="D33:K33"/>
    <mergeCell ref="D37:K37"/>
    <mergeCell ref="D30:K30"/>
    <mergeCell ref="D32:K32"/>
    <mergeCell ref="D34:K34"/>
    <mergeCell ref="D60:K60"/>
    <mergeCell ref="D61:K61"/>
    <mergeCell ref="D62:K62"/>
    <mergeCell ref="D66:K66"/>
    <mergeCell ref="D69:K69"/>
    <mergeCell ref="A60:A69"/>
    <mergeCell ref="A56:A58"/>
    <mergeCell ref="B56:B58"/>
    <mergeCell ref="B12:B54"/>
    <mergeCell ref="A12:A54"/>
    <mergeCell ref="C71:C83"/>
    <mergeCell ref="C85:C93"/>
    <mergeCell ref="C95:C105"/>
    <mergeCell ref="C107:C111"/>
    <mergeCell ref="B71:B83"/>
    <mergeCell ref="A85:A93"/>
    <mergeCell ref="A121:A123"/>
    <mergeCell ref="B95:B119"/>
    <mergeCell ref="A95:A119"/>
    <mergeCell ref="A71:A83"/>
    <mergeCell ref="A125:A137"/>
    <mergeCell ref="A139:A168"/>
    <mergeCell ref="B85:B93"/>
    <mergeCell ref="C121:C123"/>
    <mergeCell ref="C125:C130"/>
    <mergeCell ref="A172:A177"/>
    <mergeCell ref="B179:B191"/>
    <mergeCell ref="A179:A191"/>
    <mergeCell ref="B199:B216"/>
    <mergeCell ref="A296:A299"/>
    <mergeCell ref="A288:A294"/>
    <mergeCell ref="A282:A286"/>
    <mergeCell ref="A275:A280"/>
    <mergeCell ref="A266:A273"/>
    <mergeCell ref="B247:B264"/>
    <mergeCell ref="A247:A264"/>
    <mergeCell ref="B296:B299"/>
    <mergeCell ref="B288:B294"/>
    <mergeCell ref="B282:B286"/>
    <mergeCell ref="B275:B280"/>
    <mergeCell ref="B266:B273"/>
    <mergeCell ref="B242:B245"/>
    <mergeCell ref="B226:B240"/>
    <mergeCell ref="A226:A240"/>
    <mergeCell ref="A242:A245"/>
    <mergeCell ref="A199:A216"/>
    <mergeCell ref="A193:A197"/>
    <mergeCell ref="B218:B224"/>
    <mergeCell ref="A218:A224"/>
    <mergeCell ref="C288:C294"/>
    <mergeCell ref="D288:K288"/>
    <mergeCell ref="C255:C260"/>
    <mergeCell ref="C262:C264"/>
    <mergeCell ref="C266:C269"/>
    <mergeCell ref="C271:C273"/>
    <mergeCell ref="D287:K287"/>
    <mergeCell ref="D265:K265"/>
    <mergeCell ref="D284:K284"/>
    <mergeCell ref="D281:K281"/>
    <mergeCell ref="D266:K266"/>
    <mergeCell ref="D275:K275"/>
    <mergeCell ref="D258:K258"/>
    <mergeCell ref="D255:K255"/>
    <mergeCell ref="C282:C286"/>
    <mergeCell ref="Q41:S41"/>
    <mergeCell ref="Q143:S143"/>
    <mergeCell ref="Q142:S142"/>
    <mergeCell ref="Q141:S141"/>
    <mergeCell ref="Q137:S137"/>
    <mergeCell ref="Q136:S136"/>
    <mergeCell ref="Q135:S135"/>
    <mergeCell ref="Q134:S134"/>
    <mergeCell ref="Q132:S132"/>
    <mergeCell ref="Q138:S138"/>
    <mergeCell ref="Q54:S54"/>
    <mergeCell ref="Q70:S70"/>
    <mergeCell ref="Q56:S56"/>
    <mergeCell ref="Q57:S57"/>
    <mergeCell ref="Q59:S59"/>
    <mergeCell ref="Q66:S66"/>
    <mergeCell ref="Q67:S67"/>
    <mergeCell ref="Q69:S69"/>
    <mergeCell ref="Q42:S42"/>
    <mergeCell ref="Q175:S175"/>
    <mergeCell ref="Q176:S176"/>
    <mergeCell ref="Q172:S172"/>
    <mergeCell ref="Q177:S177"/>
    <mergeCell ref="Q178:S178"/>
    <mergeCell ref="Q179:S179"/>
    <mergeCell ref="Q180:S180"/>
    <mergeCell ref="Q181:S181"/>
    <mergeCell ref="Q183:S183"/>
    <mergeCell ref="Q185:S185"/>
    <mergeCell ref="Q186:S186"/>
    <mergeCell ref="Q198:S198"/>
    <mergeCell ref="Q182:S182"/>
    <mergeCell ref="Q184:S184"/>
    <mergeCell ref="Q192:S192"/>
    <mergeCell ref="Q193:S193"/>
    <mergeCell ref="Q188:S188"/>
    <mergeCell ref="Q196:S196"/>
  </mergeCells>
  <conditionalFormatting sqref="G9">
    <cfRule type="cellIs" dxfId="26" priority="16" operator="between">
      <formula>50</formula>
      <formula>0</formula>
    </cfRule>
    <cfRule type="cellIs" dxfId="25" priority="17" operator="between">
      <formula>85</formula>
      <formula>51</formula>
    </cfRule>
    <cfRule type="cellIs" dxfId="24" priority="18" operator="between">
      <formula>100</formula>
      <formula>86</formula>
    </cfRule>
  </conditionalFormatting>
  <conditionalFormatting sqref="L301">
    <cfRule type="cellIs" dxfId="23" priority="19" operator="between">
      <formula>50</formula>
      <formula>0</formula>
    </cfRule>
    <cfRule type="cellIs" dxfId="22" priority="20" operator="between">
      <formula>85</formula>
      <formula>51</formula>
    </cfRule>
    <cfRule type="cellIs" dxfId="21" priority="21" operator="between">
      <formula>100</formula>
      <formula>86</formula>
    </cfRule>
  </conditionalFormatting>
  <conditionalFormatting sqref="N12:P12 L12:L224 N13:N304 O13:O309 M23 P23 M28 M37 M47 M55 M59 P60 M70 P70:P71 M84 P84:P85 M94 P94:P95 M106 P106:P107 M112 P112:P113 M120 P120:P121 M124 P124:P125 M131 P131:P132 M138 P138:P139 M154 P154:P155 M162 P162:P163 M169 P169:P173 M172 M178 P178:P179 M185 P185:P186 M192 P192:P193 M198 P198:P199 M206 P206:P207 M211 P211:P212 M217 P217:P218 M225 P225:P226 L226:L280 M232 P232:P233 M238 P238:P239 P241:P242 M246 P246:P247 M254 P254:P255 M261 P261:P262 M265 P265:P266 M270 P270:P271 M274 P274:P275 M281 P281:P282 L282:L300 M287 P287:P288 M295 P295:P296 M300:M301 P300:P301">
    <cfRule type="containsText" dxfId="20" priority="10" operator="containsText" text="Partial">
      <formula>NOT(ISERROR(SEARCH("Partial",L12)))</formula>
    </cfRule>
    <cfRule type="containsText" dxfId="19" priority="11" operator="containsText" text="Yes">
      <formula>NOT(ISERROR(SEARCH("Yes",L12)))</formula>
    </cfRule>
    <cfRule type="containsText" dxfId="18" priority="12" operator="containsText" text="No">
      <formula>NOT(ISERROR(SEARCH("No",L12)))</formula>
    </cfRule>
  </conditionalFormatting>
  <dataValidations count="1">
    <dataValidation type="list" allowBlank="1" showInputMessage="1" showErrorMessage="1" sqref="M10:N10 L24:L27 L282:L300 L1:L2 L226:L280 L11:L22 L302:L1048576 L29:L224" xr:uid="{AD2FDF80-02E3-433F-B53B-8A4F9834DB29}">
      <formula1>"Yes, In Progress, Partial, Not Clarified, No, NA"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7"/>
  <sheetViews>
    <sheetView showGridLines="0" zoomScale="90" zoomScaleNormal="90" workbookViewId="0">
      <selection activeCell="G7" sqref="G7:L7"/>
    </sheetView>
  </sheetViews>
  <sheetFormatPr defaultColWidth="8.7109375" defaultRowHeight="14.45"/>
  <cols>
    <col min="1" max="1" width="8.7109375" style="11"/>
    <col min="2" max="3" width="14" style="11" customWidth="1"/>
    <col min="4" max="4" width="28" style="11" customWidth="1"/>
    <col min="5" max="5" width="17.28515625" style="11" customWidth="1"/>
    <col min="6" max="6" width="37.5703125" style="11" customWidth="1"/>
    <col min="7" max="7" width="32.85546875" style="11" customWidth="1"/>
    <col min="8" max="8" width="23.5703125" style="11" customWidth="1"/>
    <col min="9" max="9" width="18.85546875" style="11" customWidth="1"/>
    <col min="10" max="10" width="8.7109375" style="11"/>
    <col min="11" max="11" width="12.85546875" style="11" customWidth="1"/>
    <col min="12" max="12" width="19.7109375" style="11" customWidth="1"/>
    <col min="13" max="13" width="35" style="11" customWidth="1"/>
    <col min="14" max="16384" width="8.7109375" style="11"/>
  </cols>
  <sheetData>
    <row r="1" spans="1:13" ht="23.25" customHeight="1" thickBot="1">
      <c r="A1" s="360" t="s">
        <v>433</v>
      </c>
      <c r="B1" s="361"/>
      <c r="C1" s="361"/>
      <c r="D1" s="361"/>
      <c r="E1" s="361"/>
      <c r="F1" s="361"/>
      <c r="G1" s="361"/>
      <c r="H1" s="361"/>
      <c r="I1" s="362"/>
    </row>
    <row r="2" spans="1:13" ht="15" thickBot="1">
      <c r="A2" s="367"/>
      <c r="B2" s="367"/>
      <c r="C2" s="367"/>
      <c r="D2" s="367"/>
      <c r="E2" s="367"/>
      <c r="F2" s="367"/>
      <c r="G2" s="367"/>
      <c r="H2" s="367"/>
      <c r="I2" s="367"/>
    </row>
    <row r="3" spans="1:13" ht="14.45" customHeight="1">
      <c r="A3" s="363" t="s">
        <v>1</v>
      </c>
      <c r="B3" s="364"/>
      <c r="C3" s="365"/>
      <c r="D3" s="366"/>
      <c r="E3" s="366"/>
      <c r="F3" s="48" t="s">
        <v>2</v>
      </c>
      <c r="G3" s="301" t="s">
        <v>3</v>
      </c>
      <c r="H3" s="302"/>
      <c r="I3" s="302"/>
      <c r="J3" s="302"/>
      <c r="K3" s="302"/>
      <c r="L3" s="303"/>
    </row>
    <row r="4" spans="1:13">
      <c r="A4" s="355" t="s">
        <v>4</v>
      </c>
      <c r="B4" s="356"/>
      <c r="C4" s="358"/>
      <c r="D4" s="358"/>
      <c r="E4" s="359"/>
      <c r="F4" s="49" t="s">
        <v>5</v>
      </c>
      <c r="G4" s="304"/>
      <c r="H4" s="305"/>
      <c r="I4" s="305"/>
      <c r="J4" s="305"/>
      <c r="K4" s="305"/>
      <c r="L4" s="306"/>
    </row>
    <row r="5" spans="1:13">
      <c r="A5" s="355" t="s">
        <v>6</v>
      </c>
      <c r="B5" s="356"/>
      <c r="C5" s="357">
        <v>46100</v>
      </c>
      <c r="D5" s="358"/>
      <c r="E5" s="359"/>
      <c r="F5" s="49" t="s">
        <v>7</v>
      </c>
      <c r="G5" s="304" t="s">
        <v>8</v>
      </c>
      <c r="H5" s="305"/>
      <c r="I5" s="305"/>
      <c r="J5" s="305"/>
      <c r="K5" s="305"/>
      <c r="L5" s="306"/>
    </row>
    <row r="6" spans="1:13">
      <c r="A6" s="355" t="s">
        <v>9</v>
      </c>
      <c r="B6" s="356"/>
      <c r="C6" s="357" t="s">
        <v>10</v>
      </c>
      <c r="D6" s="358"/>
      <c r="E6" s="358"/>
      <c r="F6" s="49" t="s">
        <v>11</v>
      </c>
      <c r="G6" s="307">
        <v>46216</v>
      </c>
      <c r="H6" s="308"/>
      <c r="I6" s="308"/>
      <c r="J6" s="308"/>
      <c r="K6" s="308"/>
      <c r="L6" s="309"/>
    </row>
    <row r="7" spans="1:13" ht="15" thickBot="1">
      <c r="A7" s="351" t="s">
        <v>12</v>
      </c>
      <c r="B7" s="352"/>
      <c r="C7" s="353" t="s">
        <v>13</v>
      </c>
      <c r="D7" s="353"/>
      <c r="E7" s="354"/>
      <c r="F7" s="50" t="s">
        <v>14</v>
      </c>
      <c r="G7" s="333"/>
      <c r="H7" s="334"/>
      <c r="I7" s="334"/>
      <c r="J7" s="334"/>
      <c r="K7" s="334"/>
      <c r="L7" s="335"/>
    </row>
    <row r="8" spans="1:13" ht="15" thickBot="1">
      <c r="A8" s="51"/>
      <c r="B8" s="51"/>
      <c r="C8" s="52"/>
      <c r="D8" s="52"/>
      <c r="E8" s="52"/>
      <c r="F8" s="52"/>
      <c r="G8" s="52"/>
      <c r="H8" s="52"/>
      <c r="I8" s="52"/>
    </row>
    <row r="9" spans="1:13" ht="18.75" customHeight="1">
      <c r="A9" s="51"/>
      <c r="B9" s="51"/>
      <c r="C9" s="51"/>
      <c r="D9" s="326" t="s">
        <v>15</v>
      </c>
      <c r="E9" s="327"/>
      <c r="F9" s="55">
        <v>70</v>
      </c>
      <c r="G9" s="51"/>
      <c r="H9" s="51"/>
      <c r="I9" s="51"/>
    </row>
    <row r="12" spans="1:13" s="56" customFormat="1">
      <c r="A12" s="56" t="s">
        <v>16</v>
      </c>
      <c r="B12" s="56" t="s">
        <v>434</v>
      </c>
      <c r="C12" s="56" t="s">
        <v>435</v>
      </c>
      <c r="D12" s="56" t="s">
        <v>436</v>
      </c>
      <c r="E12" s="56" t="s">
        <v>437</v>
      </c>
      <c r="F12" s="56" t="s">
        <v>438</v>
      </c>
      <c r="G12" s="56" t="s">
        <v>439</v>
      </c>
      <c r="H12" s="56" t="s">
        <v>440</v>
      </c>
      <c r="I12" s="56" t="s">
        <v>441</v>
      </c>
      <c r="J12" s="56" t="s">
        <v>442</v>
      </c>
      <c r="K12" s="56" t="s">
        <v>443</v>
      </c>
      <c r="L12" s="56" t="s">
        <v>444</v>
      </c>
      <c r="M12" s="56" t="s">
        <v>445</v>
      </c>
    </row>
    <row r="13" spans="1:13" ht="101.45">
      <c r="A13" s="11">
        <v>1</v>
      </c>
      <c r="B13" s="120">
        <v>46216</v>
      </c>
      <c r="C13" s="11" t="s">
        <v>446</v>
      </c>
      <c r="D13" s="11" t="s">
        <v>447</v>
      </c>
      <c r="E13" s="11" t="s">
        <v>225</v>
      </c>
      <c r="F13" s="11" t="s">
        <v>448</v>
      </c>
      <c r="G13" s="11" t="s">
        <v>449</v>
      </c>
      <c r="H13" s="11" t="s">
        <v>450</v>
      </c>
      <c r="I13" s="11" t="s">
        <v>451</v>
      </c>
      <c r="J13" s="11" t="s">
        <v>452</v>
      </c>
      <c r="K13" s="12">
        <v>46226</v>
      </c>
    </row>
    <row r="14" spans="1:13" ht="116.1">
      <c r="A14" s="11">
        <v>2</v>
      </c>
      <c r="B14" s="120">
        <v>46216</v>
      </c>
      <c r="C14" s="11" t="s">
        <v>446</v>
      </c>
      <c r="D14" s="11" t="s">
        <v>453</v>
      </c>
      <c r="E14" s="11" t="s">
        <v>284</v>
      </c>
      <c r="F14" s="11" t="s">
        <v>454</v>
      </c>
      <c r="G14" s="11" t="s">
        <v>455</v>
      </c>
      <c r="H14" s="11" t="s">
        <v>456</v>
      </c>
      <c r="I14" s="11" t="s">
        <v>457</v>
      </c>
      <c r="J14" s="11" t="s">
        <v>458</v>
      </c>
      <c r="K14" s="12">
        <v>46241</v>
      </c>
    </row>
    <row r="15" spans="1:13" ht="116.1">
      <c r="A15" s="11">
        <v>3</v>
      </c>
      <c r="B15" s="120">
        <v>46216</v>
      </c>
      <c r="C15" s="11" t="s">
        <v>459</v>
      </c>
      <c r="D15" s="11" t="s">
        <v>460</v>
      </c>
      <c r="F15" s="11" t="s">
        <v>461</v>
      </c>
      <c r="G15" s="11" t="s">
        <v>462</v>
      </c>
      <c r="H15" s="11" t="s">
        <v>463</v>
      </c>
      <c r="I15" s="11" t="s">
        <v>464</v>
      </c>
      <c r="J15" s="11" t="s">
        <v>8</v>
      </c>
      <c r="K15" s="12"/>
      <c r="L15" s="11" t="s">
        <v>465</v>
      </c>
    </row>
    <row r="16" spans="1:13">
      <c r="B16" s="120"/>
      <c r="K16" s="12"/>
    </row>
    <row r="17" spans="2:11">
      <c r="B17" s="120"/>
      <c r="K17" s="12"/>
    </row>
  </sheetData>
  <mergeCells count="18">
    <mergeCell ref="A1:I1"/>
    <mergeCell ref="A3:B3"/>
    <mergeCell ref="C3:E3"/>
    <mergeCell ref="A4:B4"/>
    <mergeCell ref="C4:E4"/>
    <mergeCell ref="A2:I2"/>
    <mergeCell ref="G3:L3"/>
    <mergeCell ref="G4:L4"/>
    <mergeCell ref="D9:E9"/>
    <mergeCell ref="A5:B5"/>
    <mergeCell ref="C5:E5"/>
    <mergeCell ref="A6:B6"/>
    <mergeCell ref="C6:E6"/>
    <mergeCell ref="G5:L5"/>
    <mergeCell ref="G6:L6"/>
    <mergeCell ref="G7:L7"/>
    <mergeCell ref="A7:B7"/>
    <mergeCell ref="C7:E7"/>
  </mergeCells>
  <conditionalFormatting sqref="F9">
    <cfRule type="cellIs" dxfId="17" priority="1" operator="between">
      <formula>50</formula>
      <formula>0</formula>
    </cfRule>
    <cfRule type="cellIs" dxfId="16" priority="2" operator="between">
      <formula>85</formula>
      <formula>51</formula>
    </cfRule>
    <cfRule type="cellIs" dxfId="15" priority="3" operator="between">
      <formula>100</formula>
      <formula>86</formula>
    </cfRule>
  </conditionalFormatting>
  <dataValidations count="3">
    <dataValidation type="list" allowBlank="1" showInputMessage="1" showErrorMessage="1" sqref="J13:J17" xr:uid="{00000000-0002-0000-0600-000000000000}">
      <formula1>"Open, In Progress, Closed, Deffered"</formula1>
    </dataValidation>
    <dataValidation type="list" allowBlank="1" showInputMessage="1" showErrorMessage="1" sqref="C13:C17" xr:uid="{00000000-0002-0000-0600-000001000000}">
      <formula1>"NC, Observation, Suggestion"</formula1>
    </dataValidation>
    <dataValidation type="list" allowBlank="1" showInputMessage="1" showErrorMessage="1" sqref="E13:E17" xr:uid="{00000000-0002-0000-0600-000002000000}">
      <formula1>#REF!</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AD55-54E6-4BF3-A83E-42DBEB7EA163}">
  <dimension ref="A1:A134"/>
  <sheetViews>
    <sheetView topLeftCell="A82" workbookViewId="0"/>
  </sheetViews>
  <sheetFormatPr defaultRowHeight="14.45"/>
  <sheetData>
    <row r="1" spans="1:1">
      <c r="A1" t="s">
        <v>466</v>
      </c>
    </row>
    <row r="3" spans="1:1">
      <c r="A3" t="s">
        <v>467</v>
      </c>
    </row>
    <row r="4" spans="1:1">
      <c r="A4" t="s">
        <v>468</v>
      </c>
    </row>
    <row r="5" spans="1:1">
      <c r="A5" t="s">
        <v>469</v>
      </c>
    </row>
    <row r="6" spans="1:1">
      <c r="A6" t="s">
        <v>470</v>
      </c>
    </row>
    <row r="7" spans="1:1">
      <c r="A7" t="s">
        <v>471</v>
      </c>
    </row>
    <row r="9" spans="1:1">
      <c r="A9" t="s">
        <v>472</v>
      </c>
    </row>
    <row r="11" spans="1:1">
      <c r="A11" t="s">
        <v>473</v>
      </c>
    </row>
    <row r="12" spans="1:1">
      <c r="A12" t="s">
        <v>474</v>
      </c>
    </row>
    <row r="14" spans="1:1">
      <c r="A14" t="s">
        <v>475</v>
      </c>
    </row>
    <row r="15" spans="1:1">
      <c r="A15" t="s">
        <v>476</v>
      </c>
    </row>
    <row r="17" spans="1:1">
      <c r="A17" t="s">
        <v>477</v>
      </c>
    </row>
    <row r="18" spans="1:1">
      <c r="A18" t="s">
        <v>478</v>
      </c>
    </row>
    <row r="20" spans="1:1">
      <c r="A20" t="s">
        <v>479</v>
      </c>
    </row>
    <row r="21" spans="1:1">
      <c r="A21" t="s">
        <v>480</v>
      </c>
    </row>
    <row r="23" spans="1:1">
      <c r="A23" t="s">
        <v>481</v>
      </c>
    </row>
    <row r="24" spans="1:1">
      <c r="A24" t="s">
        <v>482</v>
      </c>
    </row>
    <row r="26" spans="1:1">
      <c r="A26" t="s">
        <v>483</v>
      </c>
    </row>
    <row r="27" spans="1:1">
      <c r="A27" t="s">
        <v>484</v>
      </c>
    </row>
    <row r="29" spans="1:1">
      <c r="A29" t="s">
        <v>485</v>
      </c>
    </row>
    <row r="30" spans="1:1">
      <c r="A30" t="s">
        <v>486</v>
      </c>
    </row>
    <row r="32" spans="1:1">
      <c r="A32" t="s">
        <v>487</v>
      </c>
    </row>
    <row r="33" spans="1:1">
      <c r="A33" t="s">
        <v>488</v>
      </c>
    </row>
    <row r="35" spans="1:1">
      <c r="A35" t="s">
        <v>489</v>
      </c>
    </row>
    <row r="36" spans="1:1">
      <c r="A36" t="s">
        <v>490</v>
      </c>
    </row>
    <row r="38" spans="1:1">
      <c r="A38" t="s">
        <v>491</v>
      </c>
    </row>
    <row r="39" spans="1:1">
      <c r="A39" t="s">
        <v>492</v>
      </c>
    </row>
    <row r="41" spans="1:1">
      <c r="A41" t="s">
        <v>493</v>
      </c>
    </row>
    <row r="42" spans="1:1">
      <c r="A42" t="s">
        <v>494</v>
      </c>
    </row>
    <row r="44" spans="1:1">
      <c r="A44" t="s">
        <v>495</v>
      </c>
    </row>
    <row r="45" spans="1:1">
      <c r="A45" t="s">
        <v>496</v>
      </c>
    </row>
    <row r="47" spans="1:1">
      <c r="A47" t="s">
        <v>497</v>
      </c>
    </row>
    <row r="48" spans="1:1">
      <c r="A48" t="s">
        <v>498</v>
      </c>
    </row>
    <row r="50" spans="1:1">
      <c r="A50" t="s">
        <v>499</v>
      </c>
    </row>
    <row r="51" spans="1:1">
      <c r="A51" t="s">
        <v>500</v>
      </c>
    </row>
    <row r="53" spans="1:1">
      <c r="A53" t="s">
        <v>501</v>
      </c>
    </row>
    <row r="54" spans="1:1">
      <c r="A54" t="s">
        <v>502</v>
      </c>
    </row>
    <row r="56" spans="1:1">
      <c r="A56" t="s">
        <v>503</v>
      </c>
    </row>
    <row r="57" spans="1:1">
      <c r="A57" t="s">
        <v>504</v>
      </c>
    </row>
    <row r="59" spans="1:1">
      <c r="A59" t="s">
        <v>505</v>
      </c>
    </row>
    <row r="60" spans="1:1">
      <c r="A60" t="s">
        <v>506</v>
      </c>
    </row>
    <row r="62" spans="1:1">
      <c r="A62" t="s">
        <v>507</v>
      </c>
    </row>
    <row r="63" spans="1:1">
      <c r="A63" t="s">
        <v>508</v>
      </c>
    </row>
    <row r="65" spans="1:1">
      <c r="A65" t="s">
        <v>509</v>
      </c>
    </row>
    <row r="66" spans="1:1">
      <c r="A66" t="s">
        <v>510</v>
      </c>
    </row>
    <row r="68" spans="1:1">
      <c r="A68" t="s">
        <v>511</v>
      </c>
    </row>
    <row r="69" spans="1:1">
      <c r="A69" t="s">
        <v>512</v>
      </c>
    </row>
    <row r="71" spans="1:1">
      <c r="A71" t="s">
        <v>513</v>
      </c>
    </row>
    <row r="72" spans="1:1">
      <c r="A72" t="s">
        <v>514</v>
      </c>
    </row>
    <row r="74" spans="1:1">
      <c r="A74" t="s">
        <v>515</v>
      </c>
    </row>
    <row r="75" spans="1:1">
      <c r="A75" t="s">
        <v>516</v>
      </c>
    </row>
    <row r="77" spans="1:1">
      <c r="A77" t="s">
        <v>517</v>
      </c>
    </row>
    <row r="78" spans="1:1">
      <c r="A78" t="s">
        <v>518</v>
      </c>
    </row>
    <row r="80" spans="1:1">
      <c r="A80" t="s">
        <v>519</v>
      </c>
    </row>
    <row r="81" spans="1:1">
      <c r="A81" t="s">
        <v>520</v>
      </c>
    </row>
    <row r="83" spans="1:1">
      <c r="A83" t="s">
        <v>521</v>
      </c>
    </row>
    <row r="84" spans="1:1">
      <c r="A84" t="s">
        <v>522</v>
      </c>
    </row>
    <row r="86" spans="1:1">
      <c r="A86" t="s">
        <v>523</v>
      </c>
    </row>
    <row r="87" spans="1:1">
      <c r="A87" t="s">
        <v>524</v>
      </c>
    </row>
    <row r="89" spans="1:1">
      <c r="A89" t="s">
        <v>525</v>
      </c>
    </row>
    <row r="90" spans="1:1">
      <c r="A90" t="s">
        <v>526</v>
      </c>
    </row>
    <row r="92" spans="1:1">
      <c r="A92" t="s">
        <v>527</v>
      </c>
    </row>
    <row r="93" spans="1:1">
      <c r="A93" t="s">
        <v>528</v>
      </c>
    </row>
    <row r="95" spans="1:1">
      <c r="A95" t="s">
        <v>529</v>
      </c>
    </row>
    <row r="96" spans="1:1">
      <c r="A96" t="s">
        <v>530</v>
      </c>
    </row>
    <row r="98" spans="1:1">
      <c r="A98" t="s">
        <v>531</v>
      </c>
    </row>
    <row r="99" spans="1:1">
      <c r="A99" t="s">
        <v>532</v>
      </c>
    </row>
    <row r="101" spans="1:1">
      <c r="A101" t="s">
        <v>533</v>
      </c>
    </row>
    <row r="102" spans="1:1">
      <c r="A102" t="s">
        <v>534</v>
      </c>
    </row>
    <row r="104" spans="1:1">
      <c r="A104" t="s">
        <v>535</v>
      </c>
    </row>
    <row r="105" spans="1:1">
      <c r="A105" t="s">
        <v>536</v>
      </c>
    </row>
    <row r="107" spans="1:1">
      <c r="A107" t="s">
        <v>537</v>
      </c>
    </row>
    <row r="108" spans="1:1">
      <c r="A108" t="s">
        <v>538</v>
      </c>
    </row>
    <row r="110" spans="1:1">
      <c r="A110" t="s">
        <v>539</v>
      </c>
    </row>
    <row r="111" spans="1:1">
      <c r="A111" t="s">
        <v>540</v>
      </c>
    </row>
    <row r="113" spans="1:1">
      <c r="A113" t="s">
        <v>541</v>
      </c>
    </row>
    <row r="114" spans="1:1">
      <c r="A114" t="s">
        <v>542</v>
      </c>
    </row>
    <row r="116" spans="1:1">
      <c r="A116" t="s">
        <v>543</v>
      </c>
    </row>
    <row r="117" spans="1:1">
      <c r="A117" t="s">
        <v>544</v>
      </c>
    </row>
    <row r="119" spans="1:1">
      <c r="A119" t="s">
        <v>545</v>
      </c>
    </row>
    <row r="120" spans="1:1">
      <c r="A120" t="s">
        <v>546</v>
      </c>
    </row>
    <row r="122" spans="1:1">
      <c r="A122" t="s">
        <v>547</v>
      </c>
    </row>
    <row r="123" spans="1:1">
      <c r="A123" t="s">
        <v>548</v>
      </c>
    </row>
    <row r="125" spans="1:1">
      <c r="A125" t="s">
        <v>549</v>
      </c>
    </row>
    <row r="126" spans="1:1">
      <c r="A126" t="s">
        <v>550</v>
      </c>
    </row>
    <row r="128" spans="1:1">
      <c r="A128" t="s">
        <v>551</v>
      </c>
    </row>
    <row r="129" spans="1:1">
      <c r="A129" t="s">
        <v>552</v>
      </c>
    </row>
    <row r="131" spans="1:1">
      <c r="A131" t="s">
        <v>553</v>
      </c>
    </row>
    <row r="132" spans="1:1">
      <c r="A132" t="s">
        <v>554</v>
      </c>
    </row>
    <row r="134" spans="1:1">
      <c r="A134" t="s">
        <v>555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4F0ED425E3A440AFF83376995AE649" ma:contentTypeVersion="3" ma:contentTypeDescription="Create a new document." ma:contentTypeScope="" ma:versionID="3425d039ee615687945bda5e3de4698f">
  <xsd:schema xmlns:xsd="http://www.w3.org/2001/XMLSchema" xmlns:xs="http://www.w3.org/2001/XMLSchema" xmlns:p="http://schemas.microsoft.com/office/2006/metadata/properties" xmlns:ns2="21353263-54af-448a-ab2c-ad1057cda123" targetNamespace="http://schemas.microsoft.com/office/2006/metadata/properties" ma:root="true" ma:fieldsID="af9935567c9f68110707cf43c9367e78" ns2:_="">
    <xsd:import namespace="21353263-54af-448a-ab2c-ad1057cda12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353263-54af-448a-ab2c-ad1057cda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7D7309-0056-4D6E-98DA-8AB40793AFD3}"/>
</file>

<file path=customXml/itemProps2.xml><?xml version="1.0" encoding="utf-8"?>
<ds:datastoreItem xmlns:ds="http://schemas.openxmlformats.org/officeDocument/2006/customXml" ds:itemID="{1F793E0B-F37E-4509-8D51-DA6DF09C109A}"/>
</file>

<file path=customXml/itemProps3.xml><?xml version="1.0" encoding="utf-8"?>
<ds:datastoreItem xmlns:ds="http://schemas.openxmlformats.org/officeDocument/2006/customXml" ds:itemID="{1A8D3FAA-346D-4F7C-BDF2-3508A869EF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Surendra Joshi</dc:creator>
  <cp:keywords/>
  <dc:description/>
  <cp:lastModifiedBy/>
  <cp:revision/>
  <dcterms:created xsi:type="dcterms:W3CDTF">2014-10-17T11:15:23Z</dcterms:created>
  <dcterms:modified xsi:type="dcterms:W3CDTF">2026-09-16T06:27:10Z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c19124d8-397d-466e-b5f1-621e200e10b9</vt:lpwstr>
  </property>
  <property fmtid="{D5CDD505-2E9C-101B-9397-08002B2CF9AE}" pid="3" name="ContentTypeId">
    <vt:lpwstr>0x010100224F0ED425E3A440AFF83376995AE649</vt:lpwstr>
  </property>
  <property fmtid="{D5CDD505-2E9C-101B-9397-08002B2CF9AE}" pid="4" name="MediaServiceImageTags">
    <vt:lpwstr/>
  </property>
</Properties>
</file>