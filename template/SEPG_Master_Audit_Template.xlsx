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codeName="ThisWorkbook" defaultThemeVersion="124226"/>
  <xr:revisionPtr revIDLastSave="0" documentId="8_{5FF7EDD9-436D-4993-A2F7-B2C628C7C65E}" xr6:coauthVersionLast="47" xr6:coauthVersionMax="47" xr10:uidLastSave="{00000000-0000-0000-0000-000000000000}"/>
  <bookViews>
    <workbookView xWindow="-110" yWindow="-110" windowWidth="19420" windowHeight="10300" tabRatio="732" xr2:uid="{00000000-000D-0000-FFFF-FFFF00000000}"/>
  </bookViews>
  <sheets>
    <sheet name="Q2 2026" sheetId="1" r:id="rId1"/>
    <sheet name="Findings" sheetId="2" r:id="rId2"/>
    <sheet name="Transcrip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99" i="1" l="1"/>
  <c r="O299" i="1" s="1"/>
  <c r="N298" i="1"/>
  <c r="O298" i="1" s="1"/>
  <c r="N297" i="1"/>
  <c r="O297" i="1" s="1"/>
  <c r="N296" i="1"/>
  <c r="O296" i="1" s="1"/>
  <c r="P296" i="1" s="1"/>
  <c r="N295" i="1"/>
  <c r="O295" i="1" s="1"/>
  <c r="N294" i="1"/>
  <c r="O294" i="1" s="1"/>
  <c r="N293" i="1"/>
  <c r="O293" i="1" s="1"/>
  <c r="N292" i="1"/>
  <c r="O292" i="1" s="1"/>
  <c r="N291" i="1"/>
  <c r="O291" i="1" s="1"/>
  <c r="N290" i="1"/>
  <c r="O290" i="1" s="1"/>
  <c r="N289" i="1"/>
  <c r="O289" i="1" s="1"/>
  <c r="N288" i="1"/>
  <c r="O288" i="1" s="1"/>
  <c r="P288" i="1" s="1"/>
  <c r="N287" i="1"/>
  <c r="O287" i="1" s="1"/>
  <c r="N286" i="1"/>
  <c r="O286" i="1" s="1"/>
  <c r="N285" i="1"/>
  <c r="O285" i="1" s="1"/>
  <c r="N284" i="1"/>
  <c r="O284" i="1" s="1"/>
  <c r="N283" i="1"/>
  <c r="O283" i="1" s="1"/>
  <c r="N282" i="1"/>
  <c r="O282" i="1" s="1"/>
  <c r="P282" i="1" s="1"/>
  <c r="N281" i="1"/>
  <c r="O281" i="1" s="1"/>
  <c r="N280" i="1"/>
  <c r="O280" i="1" s="1"/>
  <c r="N279" i="1"/>
  <c r="O279" i="1" s="1"/>
  <c r="N278" i="1"/>
  <c r="O278" i="1" s="1"/>
  <c r="N277" i="1"/>
  <c r="O277" i="1" s="1"/>
  <c r="N276" i="1"/>
  <c r="O276" i="1" s="1"/>
  <c r="N275" i="1"/>
  <c r="O275" i="1" s="1"/>
  <c r="P275" i="1" s="1"/>
  <c r="N274" i="1"/>
  <c r="O274" i="1" s="1"/>
  <c r="N273" i="1"/>
  <c r="O273" i="1" s="1"/>
  <c r="N272" i="1"/>
  <c r="O272" i="1" s="1"/>
  <c r="N271" i="1"/>
  <c r="O271" i="1" s="1"/>
  <c r="P271" i="1" s="1"/>
  <c r="N270" i="1"/>
  <c r="O270" i="1" s="1"/>
  <c r="N269" i="1"/>
  <c r="O269" i="1" s="1"/>
  <c r="N268" i="1"/>
  <c r="N267" i="1"/>
  <c r="O267" i="1" s="1"/>
  <c r="N266" i="1"/>
  <c r="O266" i="1" s="1"/>
  <c r="P266" i="1" s="1"/>
  <c r="N265" i="1"/>
  <c r="O265" i="1" s="1"/>
  <c r="N264" i="1"/>
  <c r="O264" i="1" s="1"/>
  <c r="N263" i="1"/>
  <c r="O263" i="1" s="1"/>
  <c r="N262" i="1"/>
  <c r="O262" i="1" s="1"/>
  <c r="P262" i="1" s="1"/>
  <c r="N261" i="1"/>
  <c r="O261" i="1" s="1"/>
  <c r="N260" i="1"/>
  <c r="O260" i="1" s="1"/>
  <c r="N259" i="1"/>
  <c r="O259" i="1" s="1"/>
  <c r="N258" i="1"/>
  <c r="O258" i="1" s="1"/>
  <c r="N257" i="1"/>
  <c r="O257" i="1" s="1"/>
  <c r="N256" i="1"/>
  <c r="O256" i="1" s="1"/>
  <c r="N255" i="1"/>
  <c r="O255" i="1" s="1"/>
  <c r="P255" i="1" s="1"/>
  <c r="N254" i="1"/>
  <c r="O254" i="1" s="1"/>
  <c r="N253" i="1"/>
  <c r="O253" i="1" s="1"/>
  <c r="N252" i="1"/>
  <c r="O252" i="1" s="1"/>
  <c r="N251" i="1"/>
  <c r="O251" i="1" s="1"/>
  <c r="N250" i="1"/>
  <c r="O250" i="1" s="1"/>
  <c r="N249" i="1"/>
  <c r="O249" i="1" s="1"/>
  <c r="N248" i="1"/>
  <c r="O248" i="1" s="1"/>
  <c r="N247" i="1"/>
  <c r="O247" i="1" s="1"/>
  <c r="P247" i="1" s="1"/>
  <c r="N246" i="1"/>
  <c r="O246" i="1" s="1"/>
  <c r="N245" i="1"/>
  <c r="O245" i="1" s="1"/>
  <c r="N244" i="1"/>
  <c r="O244" i="1" s="1"/>
  <c r="N243" i="1"/>
  <c r="O243" i="1" s="1"/>
  <c r="N242" i="1"/>
  <c r="O242" i="1" s="1"/>
  <c r="P242" i="1" s="1"/>
  <c r="N240" i="1"/>
  <c r="O240" i="1" s="1"/>
  <c r="N239" i="1"/>
  <c r="O239" i="1" s="1"/>
  <c r="P239" i="1" s="1"/>
  <c r="N238" i="1"/>
  <c r="O238" i="1" s="1"/>
  <c r="N237" i="1"/>
  <c r="O237" i="1" s="1"/>
  <c r="N236" i="1"/>
  <c r="O236" i="1" s="1"/>
  <c r="N235" i="1"/>
  <c r="O235" i="1" s="1"/>
  <c r="N234" i="1"/>
  <c r="O234" i="1" s="1"/>
  <c r="N233" i="1"/>
  <c r="O233" i="1" s="1"/>
  <c r="P233" i="1" s="1"/>
  <c r="N232" i="1"/>
  <c r="O232" i="1" s="1"/>
  <c r="N231" i="1"/>
  <c r="O231" i="1" s="1"/>
  <c r="N230" i="1"/>
  <c r="O230" i="1" s="1"/>
  <c r="N229" i="1"/>
  <c r="O229" i="1" s="1"/>
  <c r="N228" i="1"/>
  <c r="O228" i="1" s="1"/>
  <c r="N227" i="1"/>
  <c r="O227" i="1" s="1"/>
  <c r="N226" i="1"/>
  <c r="O226" i="1" s="1"/>
  <c r="P226" i="1" s="1"/>
  <c r="N225" i="1"/>
  <c r="O225" i="1" s="1"/>
  <c r="N224" i="1"/>
  <c r="O224" i="1" s="1"/>
  <c r="N223" i="1"/>
  <c r="O223" i="1" s="1"/>
  <c r="N222" i="1"/>
  <c r="O222" i="1" s="1"/>
  <c r="N221" i="1"/>
  <c r="O221" i="1" s="1"/>
  <c r="N220" i="1"/>
  <c r="O220" i="1" s="1"/>
  <c r="N219" i="1"/>
  <c r="O219" i="1" s="1"/>
  <c r="N218" i="1"/>
  <c r="O218" i="1" s="1"/>
  <c r="P218" i="1" s="1"/>
  <c r="N217" i="1"/>
  <c r="O217" i="1" s="1"/>
  <c r="N216" i="1"/>
  <c r="O216" i="1" s="1"/>
  <c r="N215" i="1"/>
  <c r="O215" i="1" s="1"/>
  <c r="N214" i="1"/>
  <c r="O214" i="1" s="1"/>
  <c r="N213" i="1"/>
  <c r="O213" i="1" s="1"/>
  <c r="N212" i="1"/>
  <c r="O212" i="1" s="1"/>
  <c r="P212" i="1" s="1"/>
  <c r="N211" i="1"/>
  <c r="O211" i="1" s="1"/>
  <c r="N210" i="1"/>
  <c r="O210" i="1" s="1"/>
  <c r="N209" i="1"/>
  <c r="O209" i="1" s="1"/>
  <c r="N208" i="1"/>
  <c r="O208" i="1" s="1"/>
  <c r="N207" i="1"/>
  <c r="O207" i="1" s="1"/>
  <c r="P207" i="1" s="1"/>
  <c r="N206" i="1"/>
  <c r="O206" i="1" s="1"/>
  <c r="N205" i="1"/>
  <c r="O205" i="1" s="1"/>
  <c r="N204" i="1"/>
  <c r="O204" i="1" s="1"/>
  <c r="N203" i="1"/>
  <c r="O203" i="1" s="1"/>
  <c r="N202" i="1"/>
  <c r="O202" i="1" s="1"/>
  <c r="N201" i="1"/>
  <c r="O201" i="1" s="1"/>
  <c r="N200" i="1"/>
  <c r="O200" i="1" s="1"/>
  <c r="N199" i="1"/>
  <c r="O199" i="1" s="1"/>
  <c r="P199" i="1" s="1"/>
  <c r="N198" i="1"/>
  <c r="O198" i="1" s="1"/>
  <c r="N197" i="1"/>
  <c r="O197" i="1" s="1"/>
  <c r="N196" i="1"/>
  <c r="O196" i="1" s="1"/>
  <c r="N195" i="1"/>
  <c r="O195" i="1" s="1"/>
  <c r="N194" i="1"/>
  <c r="O194" i="1" s="1"/>
  <c r="N193" i="1"/>
  <c r="O193" i="1" s="1"/>
  <c r="P193" i="1" s="1"/>
  <c r="N192" i="1"/>
  <c r="O192" i="1" s="1"/>
  <c r="N191" i="1"/>
  <c r="O191" i="1" s="1"/>
  <c r="N190" i="1"/>
  <c r="O190" i="1" s="1"/>
  <c r="N189" i="1"/>
  <c r="O189" i="1" s="1"/>
  <c r="N188" i="1"/>
  <c r="O188" i="1" s="1"/>
  <c r="N187" i="1"/>
  <c r="O187" i="1" s="1"/>
  <c r="N186" i="1"/>
  <c r="O186" i="1" s="1"/>
  <c r="P186" i="1" s="1"/>
  <c r="N185" i="1"/>
  <c r="O185" i="1" s="1"/>
  <c r="N184" i="1"/>
  <c r="O184" i="1" s="1"/>
  <c r="N183" i="1"/>
  <c r="O183" i="1" s="1"/>
  <c r="N182" i="1"/>
  <c r="O182" i="1" s="1"/>
  <c r="N181" i="1"/>
  <c r="O181" i="1" s="1"/>
  <c r="N180" i="1"/>
  <c r="O180" i="1" s="1"/>
  <c r="N179" i="1"/>
  <c r="O179" i="1" s="1"/>
  <c r="P179" i="1" s="1"/>
  <c r="N178" i="1"/>
  <c r="O178" i="1" s="1"/>
  <c r="N177" i="1"/>
  <c r="O177" i="1" s="1"/>
  <c r="N176" i="1"/>
  <c r="O176" i="1" s="1"/>
  <c r="N175" i="1"/>
  <c r="O175" i="1" s="1"/>
  <c r="N174" i="1"/>
  <c r="O174" i="1" s="1"/>
  <c r="N173" i="1"/>
  <c r="O173" i="1" s="1"/>
  <c r="P173" i="1" s="1"/>
  <c r="N172" i="1"/>
  <c r="O172" i="1" s="1"/>
  <c r="N170" i="1"/>
  <c r="O170" i="1" s="1"/>
  <c r="P170" i="1" s="1"/>
  <c r="N169" i="1"/>
  <c r="O169" i="1" s="1"/>
  <c r="N168" i="1"/>
  <c r="O168" i="1" s="1"/>
  <c r="N167" i="1"/>
  <c r="O167" i="1" s="1"/>
  <c r="N166" i="1"/>
  <c r="O166" i="1" s="1"/>
  <c r="N165" i="1"/>
  <c r="O165" i="1" s="1"/>
  <c r="N164" i="1"/>
  <c r="O164" i="1" s="1"/>
  <c r="N163" i="1"/>
  <c r="O163" i="1" s="1"/>
  <c r="P163" i="1" s="1"/>
  <c r="N162" i="1"/>
  <c r="O162" i="1" s="1"/>
  <c r="N161" i="1"/>
  <c r="O161" i="1" s="1"/>
  <c r="N160" i="1"/>
  <c r="O160" i="1" s="1"/>
  <c r="N159" i="1"/>
  <c r="O159" i="1" s="1"/>
  <c r="N158" i="1"/>
  <c r="O158" i="1" s="1"/>
  <c r="N157" i="1"/>
  <c r="O157" i="1" s="1"/>
  <c r="N156" i="1"/>
  <c r="O156" i="1" s="1"/>
  <c r="N155" i="1"/>
  <c r="O155" i="1" s="1"/>
  <c r="P155" i="1" s="1"/>
  <c r="N154" i="1"/>
  <c r="O154" i="1" s="1"/>
  <c r="N153" i="1"/>
  <c r="O153" i="1" s="1"/>
  <c r="N152" i="1"/>
  <c r="O152" i="1" s="1"/>
  <c r="N151" i="1"/>
  <c r="O151" i="1" s="1"/>
  <c r="N150" i="1"/>
  <c r="O150" i="1" s="1"/>
  <c r="N149" i="1"/>
  <c r="O149" i="1" s="1"/>
  <c r="N148" i="1"/>
  <c r="O148" i="1" s="1"/>
  <c r="N147" i="1"/>
  <c r="O147" i="1" s="1"/>
  <c r="N146" i="1"/>
  <c r="O146" i="1" s="1"/>
  <c r="N145" i="1"/>
  <c r="O145" i="1" s="1"/>
  <c r="N144" i="1"/>
  <c r="O144" i="1" s="1"/>
  <c r="N143" i="1"/>
  <c r="O143" i="1" s="1"/>
  <c r="N142" i="1"/>
  <c r="O142" i="1" s="1"/>
  <c r="N141" i="1"/>
  <c r="O141" i="1" s="1"/>
  <c r="N140" i="1"/>
  <c r="O140" i="1" s="1"/>
  <c r="N139" i="1"/>
  <c r="O139" i="1" s="1"/>
  <c r="P139" i="1" s="1"/>
  <c r="N138" i="1"/>
  <c r="O138" i="1" s="1"/>
  <c r="N137" i="1"/>
  <c r="O137" i="1" s="1"/>
  <c r="N136" i="1"/>
  <c r="O136" i="1" s="1"/>
  <c r="N135" i="1"/>
  <c r="O135" i="1" s="1"/>
  <c r="N134" i="1"/>
  <c r="O134" i="1" s="1"/>
  <c r="N133" i="1"/>
  <c r="O133" i="1" s="1"/>
  <c r="N132" i="1"/>
  <c r="O132" i="1" s="1"/>
  <c r="P132" i="1" s="1"/>
  <c r="N130" i="1"/>
  <c r="O130" i="1" s="1"/>
  <c r="N129" i="1"/>
  <c r="O129" i="1" s="1"/>
  <c r="N128" i="1"/>
  <c r="O128" i="1" s="1"/>
  <c r="N127" i="1"/>
  <c r="O127" i="1" s="1"/>
  <c r="N126" i="1"/>
  <c r="O126" i="1" s="1"/>
  <c r="N125" i="1"/>
  <c r="O125" i="1" s="1"/>
  <c r="P125" i="1" s="1"/>
  <c r="N124" i="1"/>
  <c r="O124" i="1" s="1"/>
  <c r="N123" i="1"/>
  <c r="O123" i="1" s="1"/>
  <c r="N122" i="1"/>
  <c r="O122" i="1" s="1"/>
  <c r="N121" i="1"/>
  <c r="O121" i="1" s="1"/>
  <c r="P121" i="1" s="1"/>
  <c r="N120" i="1"/>
  <c r="O120" i="1" s="1"/>
  <c r="N119" i="1"/>
  <c r="O119" i="1" s="1"/>
  <c r="N118" i="1"/>
  <c r="O118" i="1" s="1"/>
  <c r="N117" i="1"/>
  <c r="O117" i="1" s="1"/>
  <c r="N116" i="1"/>
  <c r="O116" i="1" s="1"/>
  <c r="N115" i="1"/>
  <c r="O115" i="1" s="1"/>
  <c r="N114" i="1"/>
  <c r="O114" i="1" s="1"/>
  <c r="N113" i="1"/>
  <c r="O113" i="1" s="1"/>
  <c r="P113" i="1" s="1"/>
  <c r="N112" i="1"/>
  <c r="O112" i="1" s="1"/>
  <c r="N111" i="1"/>
  <c r="O111" i="1" s="1"/>
  <c r="N110" i="1"/>
  <c r="O110" i="1" s="1"/>
  <c r="N109" i="1"/>
  <c r="O109" i="1" s="1"/>
  <c r="N108" i="1"/>
  <c r="O108" i="1" s="1"/>
  <c r="N107" i="1"/>
  <c r="O107" i="1" s="1"/>
  <c r="P107" i="1" s="1"/>
  <c r="N106" i="1"/>
  <c r="O106" i="1" s="1"/>
  <c r="N105" i="1"/>
  <c r="O105" i="1" s="1"/>
  <c r="N104" i="1"/>
  <c r="O104" i="1" s="1"/>
  <c r="N103" i="1"/>
  <c r="O103" i="1" s="1"/>
  <c r="N102" i="1"/>
  <c r="O102" i="1" s="1"/>
  <c r="N101" i="1"/>
  <c r="O101" i="1" s="1"/>
  <c r="N100" i="1"/>
  <c r="O100" i="1" s="1"/>
  <c r="N99" i="1"/>
  <c r="O99" i="1" s="1"/>
  <c r="N98" i="1"/>
  <c r="O98" i="1" s="1"/>
  <c r="N97" i="1"/>
  <c r="O97" i="1" s="1"/>
  <c r="N96" i="1"/>
  <c r="O96" i="1" s="1"/>
  <c r="N95" i="1"/>
  <c r="O95" i="1" s="1"/>
  <c r="P95" i="1" s="1"/>
  <c r="N94" i="1"/>
  <c r="O94" i="1" s="1"/>
  <c r="N93" i="1"/>
  <c r="O93" i="1" s="1"/>
  <c r="N92" i="1"/>
  <c r="O92" i="1" s="1"/>
  <c r="N91" i="1"/>
  <c r="O91" i="1" s="1"/>
  <c r="N90" i="1"/>
  <c r="O90" i="1" s="1"/>
  <c r="N89" i="1"/>
  <c r="O89" i="1" s="1"/>
  <c r="N88" i="1"/>
  <c r="O88" i="1" s="1"/>
  <c r="N87" i="1"/>
  <c r="O87" i="1" s="1"/>
  <c r="N86" i="1"/>
  <c r="O86" i="1" s="1"/>
  <c r="N85" i="1"/>
  <c r="O85" i="1" s="1"/>
  <c r="P85" i="1" s="1"/>
  <c r="N84" i="1"/>
  <c r="O84" i="1" s="1"/>
  <c r="N83" i="1"/>
  <c r="O83" i="1" s="1"/>
  <c r="N82" i="1"/>
  <c r="O82" i="1" s="1"/>
  <c r="N81" i="1"/>
  <c r="O81" i="1" s="1"/>
  <c r="N80" i="1"/>
  <c r="O80" i="1" s="1"/>
  <c r="N79" i="1"/>
  <c r="O79" i="1" s="1"/>
  <c r="N78" i="1"/>
  <c r="O78" i="1" s="1"/>
  <c r="N77" i="1"/>
  <c r="O77" i="1" s="1"/>
  <c r="N76" i="1"/>
  <c r="O76" i="1" s="1"/>
  <c r="N75" i="1"/>
  <c r="O75" i="1" s="1"/>
  <c r="N74" i="1"/>
  <c r="O74" i="1" s="1"/>
  <c r="N73" i="1"/>
  <c r="O73" i="1" s="1"/>
  <c r="N72" i="1"/>
  <c r="O72" i="1" s="1"/>
  <c r="N71" i="1"/>
  <c r="O71" i="1" s="1"/>
  <c r="P71" i="1" s="1"/>
  <c r="N70" i="1"/>
  <c r="O70" i="1" s="1"/>
  <c r="N69" i="1"/>
  <c r="O69" i="1" s="1"/>
  <c r="N68" i="1"/>
  <c r="O68" i="1" s="1"/>
  <c r="N67" i="1"/>
  <c r="O67" i="1" s="1"/>
  <c r="N66" i="1"/>
  <c r="O66" i="1" s="1"/>
  <c r="N65" i="1"/>
  <c r="O65" i="1" s="1"/>
  <c r="N64" i="1"/>
  <c r="O64" i="1" s="1"/>
  <c r="N63" i="1"/>
  <c r="O63" i="1" s="1"/>
  <c r="N62" i="1"/>
  <c r="O62" i="1" s="1"/>
  <c r="N61" i="1"/>
  <c r="O61" i="1" s="1"/>
  <c r="N60" i="1"/>
  <c r="O60" i="1" s="1"/>
  <c r="P60" i="1" s="1"/>
  <c r="N59" i="1"/>
  <c r="O59" i="1" s="1"/>
  <c r="N58" i="1"/>
  <c r="O58" i="1" s="1"/>
  <c r="N57" i="1"/>
  <c r="O57" i="1" s="1"/>
  <c r="N56" i="1"/>
  <c r="O56" i="1" s="1"/>
  <c r="P56" i="1" s="1"/>
  <c r="N54" i="1"/>
  <c r="O54" i="1" s="1"/>
  <c r="N53" i="1"/>
  <c r="O53" i="1" s="1"/>
  <c r="N52" i="1"/>
  <c r="O52" i="1" s="1"/>
  <c r="N51" i="1"/>
  <c r="O51" i="1" s="1"/>
  <c r="N50" i="1"/>
  <c r="O50" i="1" s="1"/>
  <c r="N49" i="1"/>
  <c r="O49" i="1" s="1"/>
  <c r="N48" i="1"/>
  <c r="O48" i="1" s="1"/>
  <c r="P48" i="1" s="1"/>
  <c r="N47" i="1"/>
  <c r="O47" i="1" s="1"/>
  <c r="N46" i="1"/>
  <c r="O46" i="1" s="1"/>
  <c r="N45" i="1"/>
  <c r="O45" i="1" s="1"/>
  <c r="N44" i="1"/>
  <c r="O44" i="1" s="1"/>
  <c r="N43" i="1"/>
  <c r="O43" i="1" s="1"/>
  <c r="N42" i="1"/>
  <c r="O42" i="1" s="1"/>
  <c r="N41" i="1"/>
  <c r="O41" i="1" s="1"/>
  <c r="N40" i="1"/>
  <c r="O40" i="1" s="1"/>
  <c r="N39" i="1"/>
  <c r="O39" i="1" s="1"/>
  <c r="N38" i="1"/>
  <c r="O38" i="1" s="1"/>
  <c r="P38" i="1" s="1"/>
  <c r="N37" i="1"/>
  <c r="O37" i="1" s="1"/>
  <c r="N36" i="1"/>
  <c r="O36" i="1" s="1"/>
  <c r="N35" i="1"/>
  <c r="O35" i="1" s="1"/>
  <c r="N34" i="1"/>
  <c r="O34" i="1" s="1"/>
  <c r="N33" i="1"/>
  <c r="O33" i="1" s="1"/>
  <c r="N32" i="1"/>
  <c r="O32" i="1" s="1"/>
  <c r="N31" i="1"/>
  <c r="O31" i="1" s="1"/>
  <c r="N30" i="1"/>
  <c r="O30" i="1" s="1"/>
  <c r="N29" i="1"/>
  <c r="O29" i="1" s="1"/>
  <c r="P29" i="1" s="1"/>
  <c r="N28" i="1"/>
  <c r="O28" i="1" s="1"/>
  <c r="N27" i="1"/>
  <c r="O27" i="1" s="1"/>
  <c r="N26" i="1"/>
  <c r="O26" i="1" s="1"/>
  <c r="N25" i="1"/>
  <c r="O25" i="1" s="1"/>
  <c r="N24" i="1"/>
  <c r="O24" i="1" s="1"/>
  <c r="P24" i="1" s="1"/>
  <c r="N23" i="1"/>
  <c r="O23" i="1" s="1"/>
  <c r="N22" i="1"/>
  <c r="O22" i="1" s="1"/>
  <c r="N21" i="1"/>
  <c r="O21" i="1" s="1"/>
  <c r="N20" i="1"/>
  <c r="O20" i="1" s="1"/>
  <c r="N19" i="1"/>
  <c r="O19" i="1" s="1"/>
  <c r="N18" i="1"/>
  <c r="O18" i="1" s="1"/>
  <c r="N17" i="1"/>
  <c r="O17" i="1" s="1"/>
  <c r="N16" i="1"/>
  <c r="O16" i="1" s="1"/>
  <c r="X15" i="1"/>
  <c r="N15" i="1"/>
  <c r="O15" i="1" s="1"/>
  <c r="N14" i="1"/>
  <c r="O14" i="1" s="1"/>
  <c r="N13" i="1"/>
  <c r="O13" i="1" s="1"/>
  <c r="X12" i="1"/>
  <c r="X17" i="1" s="1"/>
  <c r="Z17" i="1" s="1"/>
  <c r="N12" i="1"/>
  <c r="O12" i="1" s="1"/>
  <c r="P12" i="1" s="1"/>
  <c r="G9" i="1"/>
</calcChain>
</file>

<file path=xl/sharedStrings.xml><?xml version="1.0" encoding="utf-8"?>
<sst xmlns="http://schemas.openxmlformats.org/spreadsheetml/2006/main" count="367" uniqueCount="351">
  <si>
    <t>Project Review Checklist</t>
  </si>
  <si>
    <t>Project Name</t>
  </si>
  <si>
    <t>Billing Type</t>
  </si>
  <si>
    <t>Project ID</t>
  </si>
  <si>
    <t>Project Manager</t>
  </si>
  <si>
    <t>Project Start Date</t>
  </si>
  <si>
    <t>Project State/Phase</t>
  </si>
  <si>
    <t>Project End Date</t>
  </si>
  <si>
    <t>Review Date</t>
  </si>
  <si>
    <t>Project Type</t>
  </si>
  <si>
    <t>Participants</t>
  </si>
  <si>
    <t>Compliance Status</t>
  </si>
  <si>
    <t>Sr. No.</t>
  </si>
  <si>
    <t>Phases/Process</t>
  </si>
  <si>
    <t>Activities</t>
  </si>
  <si>
    <t>Checkpoint</t>
  </si>
  <si>
    <t>Response</t>
  </si>
  <si>
    <t>Weighted</t>
  </si>
  <si>
    <t>Score</t>
  </si>
  <si>
    <t>Weighted Score</t>
  </si>
  <si>
    <t>Average Score</t>
  </si>
  <si>
    <t>observation</t>
  </si>
  <si>
    <t>Formulas:</t>
  </si>
  <si>
    <t>Initiation</t>
  </si>
  <si>
    <t>SOW</t>
  </si>
  <si>
    <t>Signed  SOW is available</t>
  </si>
  <si>
    <t>Count of NO</t>
  </si>
  <si>
    <t>Approved SOW is available</t>
  </si>
  <si>
    <t>SOW reviewed and understood by key stakeholders</t>
  </si>
  <si>
    <t>Scope of work is clearly defined in SOW</t>
  </si>
  <si>
    <t>Count of Yes</t>
  </si>
  <si>
    <t xml:space="preserve">Scope of work defined including inclusions and exclusions (In scope/Out Scope) </t>
  </si>
  <si>
    <t>Deliverables Identified in SOW (Statement)</t>
  </si>
  <si>
    <t>Total applicable checkpoints</t>
  </si>
  <si>
    <t>Div</t>
  </si>
  <si>
    <t>Project timelines/milestones defined in the SOW</t>
  </si>
  <si>
    <t>Acceptance criteria for deliverables defined</t>
  </si>
  <si>
    <t>Required skills identified for the project</t>
  </si>
  <si>
    <t xml:space="preserve">Timelines of a invoices defined </t>
  </si>
  <si>
    <t>Dependencies tracked to closure</t>
  </si>
  <si>
    <t>Lifecycle identification</t>
  </si>
  <si>
    <t>Lifecycle identified for the project</t>
  </si>
  <si>
    <t>Execution methodology identified (Agile/Waterfall/Hybrid)</t>
  </si>
  <si>
    <t>Selected methodology formally approved and documented by key stakeholders</t>
  </si>
  <si>
    <t>Milestones / Schedule / High-level Sprint Plan defined</t>
  </si>
  <si>
    <t>Estimation Approval</t>
  </si>
  <si>
    <t>High Level Estimations available</t>
  </si>
  <si>
    <t xml:space="preserve">Acceptance on the estimation available </t>
  </si>
  <si>
    <t>Detailed estimations available for all tasks/deliverables</t>
  </si>
  <si>
    <t>Estimation technique/methodology defined and documented</t>
  </si>
  <si>
    <t>Changes in estimations communicated to stakeholders and approved</t>
  </si>
  <si>
    <t xml:space="preserve">Estimation available in JIRA Tool (Confluence)
</t>
  </si>
  <si>
    <t xml:space="preserve">Estimation changes logged and tracked 
</t>
  </si>
  <si>
    <t>Contingency included in estimation</t>
  </si>
  <si>
    <t>Team Allocation</t>
  </si>
  <si>
    <t>Team request raised and approved</t>
  </si>
  <si>
    <t>Team allocated to the project (number of resources confirmed)</t>
  </si>
  <si>
    <t>Project Buffers allocated to the project</t>
  </si>
  <si>
    <t>Roles and responsibilities communicated to all team members</t>
  </si>
  <si>
    <t>Team members onboarded with required system/access rights</t>
  </si>
  <si>
    <t>Team performance monitoring process defined</t>
  </si>
  <si>
    <t>Backup/reserve resources identified</t>
  </si>
  <si>
    <t>Skill gaps identified and training planned</t>
  </si>
  <si>
    <t>Trainings based on skills planned and executed</t>
  </si>
  <si>
    <t>Kick-off</t>
  </si>
  <si>
    <t>Kick-off conducted for the project</t>
  </si>
  <si>
    <t>Kick-off meeting conducted with all relevant team members</t>
  </si>
  <si>
    <t>Minutes of Meeting (MOM) for kick-off shared with all relevant stakeholders</t>
  </si>
  <si>
    <t>Presentation and attendance record available</t>
  </si>
  <si>
    <t>Project objectives, scope, and execution approach discussed</t>
  </si>
  <si>
    <t>Communication plan and reporting structure shared</t>
  </si>
  <si>
    <t>Initial risks and assumptions discussed</t>
  </si>
  <si>
    <t xml:space="preserve">ERP </t>
  </si>
  <si>
    <t>ERP Setup</t>
  </si>
  <si>
    <t>Project clearly created in ERP system with correct start/end dates</t>
  </si>
  <si>
    <t>Resources allocated to the project in ERP and roles assigned</t>
  </si>
  <si>
    <t>Resource percentage allocation correctly reflected in ERP</t>
  </si>
  <si>
    <t>Project Planning</t>
  </si>
  <si>
    <t>Project Plan Communication</t>
  </si>
  <si>
    <t xml:space="preserve">Project Plan document created (CM, RSKM, Communication, Resource, Metrics/SLA) </t>
  </si>
  <si>
    <t xml:space="preserve">PMP document approved and version-controlled </t>
  </si>
  <si>
    <t>Project Plan shared with the team to understand execution methodology</t>
  </si>
  <si>
    <t>Resource plan developed</t>
  </si>
  <si>
    <t>Communication plan agreed and informed to all stakeholders</t>
  </si>
  <si>
    <t xml:space="preserve">Escalation process defined and communicated </t>
  </si>
  <si>
    <t>Service Level Agreement (SLA) defined and documented for project</t>
  </si>
  <si>
    <t>Tools/Access to system / Required Infra available</t>
  </si>
  <si>
    <t>Stakeholder sign-off on project plan obtained</t>
  </si>
  <si>
    <t>Access request for the team members of Tools/System</t>
  </si>
  <si>
    <t>Requirement Management</t>
  </si>
  <si>
    <t>Requirement Gathering</t>
  </si>
  <si>
    <t>Methods of requirement gathering defined (interviews, workshops, surveys, etc.)</t>
  </si>
  <si>
    <t>Requirement received from client to the team in any format (Staff-Aug )</t>
  </si>
  <si>
    <t>BRD/ Product Backlog Created</t>
  </si>
  <si>
    <t>Use cases and user story defined</t>
  </si>
  <si>
    <t>Functional and Non-Functional Requirements called out</t>
  </si>
  <si>
    <t>Requirements approved by client SPOC</t>
  </si>
  <si>
    <t>Definition of Done/ Acceptance criteria for requirements established</t>
  </si>
  <si>
    <t xml:space="preserve">Requirement traceability matrix (RTM) created </t>
  </si>
  <si>
    <t>Prioritization of requirements(Medium, Low , High)</t>
  </si>
  <si>
    <t>Requirement Understanding established in the team</t>
  </si>
  <si>
    <t>Security Requirements identified (Coding and Test Data)</t>
  </si>
  <si>
    <t>If the project is related to the Personally  Identification information(PII)</t>
  </si>
  <si>
    <t xml:space="preserve">PII Included in a Project </t>
  </si>
  <si>
    <t>Design</t>
  </si>
  <si>
    <t>High Level Design Created</t>
  </si>
  <si>
    <t>Low Level Design Created</t>
  </si>
  <si>
    <t>Prototype/wireframe created(Figma/Lucid chart)</t>
  </si>
  <si>
    <t>Mockups or screen designs reviewed with stakeholders(Client)</t>
  </si>
  <si>
    <t>Design covers all functional and non-functional requirements</t>
  </si>
  <si>
    <t>Security controls addressed in design documentation</t>
  </si>
  <si>
    <t>Design document versions tracked and maintained</t>
  </si>
  <si>
    <t>Technical documentation created (architecture diagrams, database schemas, interfaces)</t>
  </si>
  <si>
    <t>Client approvals obtained for HLD and LLD documents - Technical Documents</t>
  </si>
  <si>
    <t>Sprint Execution</t>
  </si>
  <si>
    <t>Sprint Planning meeting</t>
  </si>
  <si>
    <t>Team capacity planning done before each sprint</t>
  </si>
  <si>
    <t>Sprint goals defined and communicated to the team</t>
  </si>
  <si>
    <t>Sprint Plan created in JIRA</t>
  </si>
  <si>
    <t>Sprint Backlog Created</t>
  </si>
  <si>
    <t>User stories estimated and sized (Story Points / Hours / Days)</t>
  </si>
  <si>
    <t>Size of user stories definition defined (for Agile) - Small,Medium,Large</t>
  </si>
  <si>
    <t>Acceptance criteria for user stories clearly defined</t>
  </si>
  <si>
    <t>Issues and dependencies identified</t>
  </si>
  <si>
    <t>Stories broken down into actionable tasks</t>
  </si>
  <si>
    <t>Task allocated to the team members</t>
  </si>
  <si>
    <t xml:space="preserve">                               Sprint Planning Meeting conducted with all team members (developers, testers, scrum master, product owner)</t>
  </si>
  <si>
    <t xml:space="preserve">Sprint Execution </t>
  </si>
  <si>
    <t>Sprint backlog reviewed and accepted by Product Owner</t>
  </si>
  <si>
    <t>Work progress monitored against sprint goals</t>
  </si>
  <si>
    <t>Bottlenecks or blockers identified and discussed during daily stand-ups</t>
  </si>
  <si>
    <t>Task progress updated in project management tool</t>
  </si>
  <si>
    <t>Demo done at the end of the sprint</t>
  </si>
  <si>
    <t>Sprint Closure</t>
  </si>
  <si>
    <t>All planned sprint tasks/stories completed</t>
  </si>
  <si>
    <t>Incomplete user stories documented for next sprint</t>
  </si>
  <si>
    <t>Dependencies for next sprint identified and communicated</t>
  </si>
  <si>
    <t>Sprint metrics (task baords, velocity, burn-down graphs) updated</t>
  </si>
  <si>
    <t>Retrospective conducted and improvement actions identified</t>
  </si>
  <si>
    <t>Action items from retrospectives tracked to closure</t>
  </si>
  <si>
    <t>Confirmation that all team members are aware of closure and next sprint planning</t>
  </si>
  <si>
    <t>Execution</t>
  </si>
  <si>
    <t>Deliverables Communication</t>
  </si>
  <si>
    <t>Deliverables expected for the project communicated to the team</t>
  </si>
  <si>
    <t>Deliverables tracking mechanism in place (JIRA, Excel)</t>
  </si>
  <si>
    <t>Any changes or updates to deliverables communicated promptly</t>
  </si>
  <si>
    <t>Coding</t>
  </si>
  <si>
    <t>Code Quality &amp; Standards</t>
  </si>
  <si>
    <t>Coding standards established and followed</t>
  </si>
  <si>
    <t>Secure coding practices followed</t>
  </si>
  <si>
    <t>Code reviews conducted by (Name)</t>
  </si>
  <si>
    <t>Code reviews conducted before check-in or merge</t>
  </si>
  <si>
    <t>Code review comments tracked and closed</t>
  </si>
  <si>
    <t>Code quality issues identified, reviewed, and resolved</t>
  </si>
  <si>
    <t>Code Testing</t>
  </si>
  <si>
    <t xml:space="preserve">Unit test cases created </t>
  </si>
  <si>
    <t>Unit test cases executed</t>
  </si>
  <si>
    <t>Code coverage metrics maintained</t>
  </si>
  <si>
    <t>Unit Tests results validated</t>
  </si>
  <si>
    <t>UT created for every Commit</t>
  </si>
  <si>
    <t>Defects found in UT tracked to closure(Optional)</t>
  </si>
  <si>
    <t>Testing</t>
  </si>
  <si>
    <t xml:space="preserve">Test plan Created </t>
  </si>
  <si>
    <t xml:space="preserve">Test plan  reviewed and approved by manager/Client </t>
  </si>
  <si>
    <t xml:space="preserve">                            Types of testing identified: Functional, Non-Functional, Smoke, Regression, UAT, Performance, Security and Load</t>
  </si>
  <si>
    <t>Detailed test cases created for all requirements</t>
  </si>
  <si>
    <t>Test Cases reviewed by QA Manager</t>
  </si>
  <si>
    <t>Test Cases approved/agreed by Client</t>
  </si>
  <si>
    <t>Automation test scripts created</t>
  </si>
  <si>
    <t xml:space="preserve">Test cases executed as per the test plan </t>
  </si>
  <si>
    <t>Integration testing executed</t>
  </si>
  <si>
    <t>Functional testing executed</t>
  </si>
  <si>
    <t>Non-functional testing executed (Regression/Sanity / Performance/Security/Load testing)</t>
  </si>
  <si>
    <t>Sanity testing performed after bug fixes</t>
  </si>
  <si>
    <t>Defect related metrics tracked</t>
  </si>
  <si>
    <t xml:space="preserve">Test reports generated </t>
  </si>
  <si>
    <t>Test Summary Report created and shared with stakeholder</t>
  </si>
  <si>
    <t>Defect Management</t>
  </si>
  <si>
    <t xml:space="preserve">Defects identified during testing </t>
  </si>
  <si>
    <t>Defects raised against failed test cases</t>
  </si>
  <si>
    <t>Defect logged in a defect tracking tool (JIRA, Azure DevOps, Bugzilla)</t>
  </si>
  <si>
    <t xml:space="preserve">Defects assigned to the relevant team members </t>
  </si>
  <si>
    <t xml:space="preserve">            Defect resolution status tracked and updated in tool (Open → In Progress → Fixed → Verified → Closed)</t>
  </si>
  <si>
    <t xml:space="preserve">       Complete defect lifecycle followed – Raise, Log, Prioritize, Assign, Fix, Retest, Close, Analyze, Improve.</t>
  </si>
  <si>
    <t>Defects summary report created and shared with stakeholder</t>
  </si>
  <si>
    <t>UAT</t>
  </si>
  <si>
    <t xml:space="preserve">UAT Test cases Identified </t>
  </si>
  <si>
    <t xml:space="preserve">UAT Test cases reviewed and approved by client </t>
  </si>
  <si>
    <t>UAT executed as per test plan</t>
  </si>
  <si>
    <t xml:space="preserve">Defects/issues logged during UAT </t>
  </si>
  <si>
    <t>UAT execution results  and communicated to relevant team</t>
  </si>
  <si>
    <t>UAT sign-off received from business/client</t>
  </si>
  <si>
    <t>Security Testing</t>
  </si>
  <si>
    <t>Vulnerability and penetration test results recorded</t>
  </si>
  <si>
    <t>Release</t>
  </si>
  <si>
    <t>Pre- Release</t>
  </si>
  <si>
    <t>Completed all planned development tasks</t>
  </si>
  <si>
    <t>Code reviewed comments closed</t>
  </si>
  <si>
    <t>Code merged into main/release branch</t>
  </si>
  <si>
    <t>Unit test cases passed</t>
  </si>
  <si>
    <t>All test cases passed and defects closed</t>
  </si>
  <si>
    <t>Deployment</t>
  </si>
  <si>
    <t>Pre-production</t>
  </si>
  <si>
    <t>Deployment to staging environment completed</t>
  </si>
  <si>
    <t>Smoke testing / basic functionality checks executed</t>
  </si>
  <si>
    <t>Confirm database and configuration updates</t>
  </si>
  <si>
    <t>Created and share release notes for every production release</t>
  </si>
  <si>
    <t>User guide and knowledge base updated</t>
  </si>
  <si>
    <t>Conducted release-related calls/meetings with stakeholders</t>
  </si>
  <si>
    <t>Production Deployment</t>
  </si>
  <si>
    <t>Deploy the new release to production</t>
  </si>
  <si>
    <t>Sanity checks performed post-production deployment</t>
  </si>
  <si>
    <t>Release communicated to users/stakeholders</t>
  </si>
  <si>
    <t>Handover session for client planned for the release</t>
  </si>
  <si>
    <t>Deliverables verified against release plan</t>
  </si>
  <si>
    <t>Acceptance on Deliverables/Released Product available</t>
  </si>
  <si>
    <t>Monitoring</t>
  </si>
  <si>
    <t>Communication</t>
  </si>
  <si>
    <t>Meetings planned as per Communication Plan</t>
  </si>
  <si>
    <t xml:space="preserve">MOM created and shared for relevant meetings </t>
  </si>
  <si>
    <t>Action items from all the MOM are being tracked to closure</t>
  </si>
  <si>
    <t xml:space="preserve">Dependencies identified and communicated </t>
  </si>
  <si>
    <t>Client Reporting</t>
  </si>
  <si>
    <t>Weekly/Monthly</t>
  </si>
  <si>
    <t>Weekly Status Report prepared</t>
  </si>
  <si>
    <t>Weekly Status Report shared with client</t>
  </si>
  <si>
    <t>WSR reviewed before sharing</t>
  </si>
  <si>
    <t>Risks/issues for the week updated and communicated</t>
  </si>
  <si>
    <t>Monthly Status Review meeting Done</t>
  </si>
  <si>
    <t>MOM for Monthly Status meeting shared</t>
  </si>
  <si>
    <t>Monthly Status Report shared with client</t>
  </si>
  <si>
    <t>Quarterly Activities</t>
  </si>
  <si>
    <t xml:space="preserve">QBR Meeting Conducted </t>
  </si>
  <si>
    <t>Quarterly Report  shared</t>
  </si>
  <si>
    <t>MOM for Quarterly meeting shared</t>
  </si>
  <si>
    <t>Client feedback from QBR captured and documented(Action Item)</t>
  </si>
  <si>
    <t>Client Communication</t>
  </si>
  <si>
    <t>Escalation matrix defined and shared</t>
  </si>
  <si>
    <t>Risks and mitigation plans communicated to the client</t>
  </si>
  <si>
    <t>Project KPIs / performance metrics reviewed with the client</t>
  </si>
  <si>
    <t>Client feedback or acknowledgment received</t>
  </si>
  <si>
    <t>Changes communicated to the client and agreed upon (WSR,MSR)</t>
  </si>
  <si>
    <t>Internal Monitoring</t>
  </si>
  <si>
    <t>Performance Tracking</t>
  </si>
  <si>
    <t>Monthly Dashboard (MSR) Created</t>
  </si>
  <si>
    <t>Monthly Dashboard (MSR) Reviewed (Director)</t>
  </si>
  <si>
    <t>Monthly Dashboard (MSR) shared with SEPG</t>
  </si>
  <si>
    <t>Daily Stand Up meetings conducted</t>
  </si>
  <si>
    <t>Impediments tracking done</t>
  </si>
  <si>
    <t>Lesson Learned/ What went well/ Areas to improve recorded and tracked</t>
  </si>
  <si>
    <t>Appreciations/Concerns collected from the client</t>
  </si>
  <si>
    <t>Risk Management</t>
  </si>
  <si>
    <t>Planning and Documentation</t>
  </si>
  <si>
    <t>Risk Management Plan Established</t>
  </si>
  <si>
    <t>Risk mitigation and contingency identified</t>
  </si>
  <si>
    <t>Risk Register Created and maintained</t>
  </si>
  <si>
    <t xml:space="preserve">Risk owners / responsible persons assigned for each risk </t>
  </si>
  <si>
    <t>Risk priority identified - High , Medium, Low</t>
  </si>
  <si>
    <t>Risks communicated as part of Meetings/MOM</t>
  </si>
  <si>
    <t>Monitoring and Communication</t>
  </si>
  <si>
    <t>Risk are monitored regularly</t>
  </si>
  <si>
    <t>Risks communicated timely to all stakeholders</t>
  </si>
  <si>
    <t>Escalation triggered for critical risks</t>
  </si>
  <si>
    <t>Risk status updated regularly (Open / Mitigated / Closed)</t>
  </si>
  <si>
    <t>Risk dashboard or report shared periodically</t>
  </si>
  <si>
    <t>Review and Closure</t>
  </si>
  <si>
    <t xml:space="preserve">Risks reviewed in scheduled project meetings	</t>
  </si>
  <si>
    <t>Lesson learned from risk management documented</t>
  </si>
  <si>
    <t>Project Metrics</t>
  </si>
  <si>
    <t>Metrics</t>
  </si>
  <si>
    <t>Metrics for the project are identified and clearly defined</t>
  </si>
  <si>
    <t>Metrics are communicated to stakeholders</t>
  </si>
  <si>
    <t>Metrics are being captured</t>
  </si>
  <si>
    <t>Metrics data is being analyzed</t>
  </si>
  <si>
    <t>Change management</t>
  </si>
  <si>
    <t>Change control</t>
  </si>
  <si>
    <t>Change Management process defined for the project</t>
  </si>
  <si>
    <t xml:space="preserve">Change Requests created as per defined format </t>
  </si>
  <si>
    <t>Change Log created and maintained</t>
  </si>
  <si>
    <t>Impact analysis done for each change request</t>
  </si>
  <si>
    <t xml:space="preserve">Approvals on CR's available </t>
  </si>
  <si>
    <t>Verification and validation post-implementation of changes</t>
  </si>
  <si>
    <t>Lessons learned from change captured</t>
  </si>
  <si>
    <t>Changes in Team</t>
  </si>
  <si>
    <t xml:space="preserve">Deactivation records for offboarding team members </t>
  </si>
  <si>
    <t>Access revoked across all systems (VPN, Git, servers, trackers, email)</t>
  </si>
  <si>
    <t>Handover of tasks/work items completed and reviewed</t>
  </si>
  <si>
    <t>Project asset return confirmed(Laptops, ID Badges, Security devices)</t>
  </si>
  <si>
    <t>Activation Record for onboarding replacement team members</t>
  </si>
  <si>
    <t>Access provisioning completed (tools, systems, repositories, emails)</t>
  </si>
  <si>
    <t>Knowledge Transfer (KT)</t>
  </si>
  <si>
    <t xml:space="preserve">KT for new Onboarding Resource </t>
  </si>
  <si>
    <t>Reverse KT conducted for the new team member</t>
  </si>
  <si>
    <t>KT Session documented and shared</t>
  </si>
  <si>
    <t>Incident management</t>
  </si>
  <si>
    <t>Logging and Resolution</t>
  </si>
  <si>
    <t>Incident Log Created</t>
  </si>
  <si>
    <t>Incident Communicated to all required stakeholders</t>
  </si>
  <si>
    <t>Corrective Actions Identified</t>
  </si>
  <si>
    <t>Incidents Tracked to Closure</t>
  </si>
  <si>
    <t>Communication Management</t>
  </si>
  <si>
    <t>Client calls conducted as per communication plan</t>
  </si>
  <si>
    <t>Risks and mitigation plans communicated to client</t>
  </si>
  <si>
    <t>Commercials</t>
  </si>
  <si>
    <t>Billing &amp; Tracking</t>
  </si>
  <si>
    <t>Invoices raised as per SOW</t>
  </si>
  <si>
    <t>Payment terms adhered to for all invoices</t>
  </si>
  <si>
    <t>Billing/Invoices status shared with the client</t>
  </si>
  <si>
    <t>Commercials tracked for the project</t>
  </si>
  <si>
    <t>All raised invoices cleared</t>
  </si>
  <si>
    <t xml:space="preserve">If the payment is in INR (GST 18 %) Included or not </t>
  </si>
  <si>
    <t>Review/Audit</t>
  </si>
  <si>
    <t>Issue Resolution</t>
  </si>
  <si>
    <t>Audit conducted for the Project</t>
  </si>
  <si>
    <t>RCA Conducted for the findings</t>
  </si>
  <si>
    <t>Action taken and status updated for the findings</t>
  </si>
  <si>
    <t>Action plan Submitted on Time</t>
  </si>
  <si>
    <t>Re-audit or follow-up audit conducted where required (For Project)</t>
  </si>
  <si>
    <t>Closure</t>
  </si>
  <si>
    <t xml:space="preserve">Project Closure </t>
  </si>
  <si>
    <t>Project Closure Report prepared</t>
  </si>
  <si>
    <t>Resources Released</t>
  </si>
  <si>
    <t>Skills updated</t>
  </si>
  <si>
    <t>Risks Shared with SEPG</t>
  </si>
  <si>
    <t>Lesson Learned Shared</t>
  </si>
  <si>
    <t>Closure officially signed off</t>
  </si>
  <si>
    <t>Acceptance received from client</t>
  </si>
  <si>
    <t>Project Specific Checkpoints</t>
  </si>
  <si>
    <t>CAM</t>
  </si>
  <si>
    <t>Capacity Planning done</t>
  </si>
  <si>
    <t>SCON</t>
  </si>
  <si>
    <t>Business Continuity Planned and executed</t>
  </si>
  <si>
    <t>DAR</t>
  </si>
  <si>
    <t>Any Major decision or tool change</t>
  </si>
  <si>
    <t>SST</t>
  </si>
  <si>
    <t>Transitions planned and executed</t>
  </si>
  <si>
    <t xml:space="preserve"> Total Compliance Percentage</t>
  </si>
  <si>
    <t>Project Review Checklist - Staff Aug Projects</t>
  </si>
  <si>
    <t>Date of Audit</t>
  </si>
  <si>
    <t>Category</t>
  </si>
  <si>
    <t>Finding</t>
  </si>
  <si>
    <t>Area</t>
  </si>
  <si>
    <t>Details</t>
  </si>
  <si>
    <t>Cause</t>
  </si>
  <si>
    <t>Correction</t>
  </si>
  <si>
    <t>Prevention</t>
  </si>
  <si>
    <t>Status</t>
  </si>
  <si>
    <t>Closed Date</t>
  </si>
  <si>
    <t>Closure Comments</t>
  </si>
  <si>
    <t>Column1</t>
  </si>
  <si>
    <t>Transcript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</si>
</sst>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17">
    <font>
      <sz val="11"/>
      <color theme="1"/>
      <name val="Calibri"/>
      <family val="2"/>
      <scheme val="minor"/>
    </font>
    <font>
      <sz val="10"/>
      <name val="Arial"/>
      <family val="2"/>
    </font>
    <font>
      <b/>
      <sz val="11"/>
      <color theme="1"/>
      <name val="Calibri"/>
      <family val="2"/>
      <scheme val="minor"/>
    </font>
    <font>
      <b/>
      <sz val="14"/>
      <color theme="1"/>
      <name val="Calibri"/>
      <family val="2"/>
      <scheme val="minor"/>
    </font>
    <font>
      <b/>
      <sz val="16"/>
      <color theme="1"/>
      <name val="Calibri"/>
      <family val="2"/>
      <scheme val="minor"/>
    </font>
    <font>
      <sz val="11"/>
      <color rgb="FFFF0000"/>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b/>
      <sz val="11"/>
      <color rgb="FFFF0000"/>
      <name val="Calibri"/>
      <family val="2"/>
      <scheme val="minor"/>
    </font>
    <font>
      <b/>
      <sz val="11"/>
      <color theme="0"/>
      <name val="Calibri"/>
      <family val="2"/>
      <scheme val="minor"/>
    </font>
    <font>
      <sz val="11"/>
      <color theme="0"/>
      <name val="Calibri"/>
      <family val="2"/>
      <scheme val="minor"/>
    </font>
    <font>
      <b/>
      <sz val="14"/>
      <color rgb="FF000000"/>
      <name val="Aptos Narrow"/>
      <family val="2"/>
    </font>
    <font>
      <sz val="11"/>
      <color rgb="FF000000"/>
      <name val="Aptos Narrow"/>
      <family val="2"/>
    </font>
    <font>
      <b/>
      <sz val="10"/>
      <color rgb="FF000000"/>
      <name val="Aptos Narrow"/>
      <family val="2"/>
    </font>
    <font>
      <sz val="10"/>
      <color rgb="FF000000"/>
      <name val="Aptos Narrow"/>
      <family val="2"/>
    </font>
    <font>
      <sz val="11"/>
      <color rgb="FF000000"/>
      <name val="Calibri"/>
      <family val="2"/>
    </font>
  </fonts>
  <fills count="9">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rgb="FFFFFF00"/>
        <bgColor indexed="64"/>
      </patternFill>
    </fill>
    <fill>
      <patternFill patternType="solid">
        <fgColor rgb="FFE8E8E8"/>
        <bgColor rgb="FF000000"/>
      </patternFill>
    </fill>
    <fill>
      <patternFill patternType="solid">
        <fgColor rgb="FF44B3E1"/>
        <bgColor rgb="FF000000"/>
      </patternFill>
    </fill>
    <fill>
      <patternFill patternType="solid">
        <fgColor theme="2" tint="-9.9978637043366805E-2"/>
        <bgColor indexed="64"/>
      </patternFill>
    </fill>
  </fills>
  <borders count="7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indexed="64"/>
      </top>
      <bottom style="medium">
        <color indexed="64"/>
      </bottom>
      <diagonal/>
    </border>
    <border>
      <left/>
      <right style="thin">
        <color rgb="FF000000"/>
      </right>
      <top style="thin">
        <color indexed="64"/>
      </top>
      <bottom style="thin">
        <color indexed="64"/>
      </bottom>
      <diagonal/>
    </border>
    <border>
      <left/>
      <right style="thin">
        <color rgb="FF000000"/>
      </right>
      <top style="thin">
        <color indexed="64"/>
      </top>
      <bottom style="medium">
        <color indexed="64"/>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indexed="64"/>
      </right>
      <top/>
      <bottom/>
      <diagonal/>
    </border>
    <border>
      <left style="thin">
        <color rgb="FF000000"/>
      </left>
      <right/>
      <top/>
      <bottom style="thin">
        <color indexed="64"/>
      </bottom>
      <diagonal/>
    </border>
    <border>
      <left/>
      <right style="thin">
        <color rgb="FF000000"/>
      </right>
      <top style="thin">
        <color indexed="64"/>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diagonal/>
    </border>
    <border>
      <left style="thin">
        <color rgb="FF000000"/>
      </left>
      <right style="thin">
        <color rgb="FF000000"/>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right style="thin">
        <color rgb="FF000000"/>
      </right>
      <top style="thin">
        <color rgb="FF000000"/>
      </top>
      <bottom style="thin">
        <color rgb="FF000000"/>
      </bottom>
      <diagonal/>
    </border>
    <border>
      <left style="thin">
        <color indexed="64"/>
      </left>
      <right style="thin">
        <color rgb="FF000000"/>
      </right>
      <top/>
      <bottom style="thin">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rgb="FF000000"/>
      </left>
      <right style="thin">
        <color rgb="FF000000"/>
      </right>
      <top style="medium">
        <color indexed="64"/>
      </top>
      <bottom style="thin">
        <color rgb="FF000000"/>
      </bottom>
      <diagonal/>
    </border>
    <border>
      <left style="medium">
        <color indexed="64"/>
      </left>
      <right style="thin">
        <color indexed="64"/>
      </right>
      <top style="thin">
        <color indexed="64"/>
      </top>
      <bottom style="medium">
        <color indexed="64"/>
      </bottom>
      <diagonal/>
    </border>
    <border>
      <left style="thin">
        <color rgb="FF000000"/>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medium">
        <color indexed="64"/>
      </left>
      <right style="medium">
        <color rgb="FF000000"/>
      </right>
      <top style="medium">
        <color indexed="64"/>
      </top>
      <bottom style="medium">
        <color indexed="64"/>
      </bottom>
      <diagonal/>
    </border>
  </borders>
  <cellStyleXfs count="3">
    <xf numFmtId="0" fontId="0" fillId="0" borderId="0"/>
    <xf numFmtId="0" fontId="1" fillId="0" borderId="0"/>
    <xf numFmtId="0" fontId="1" fillId="0" borderId="0"/>
  </cellStyleXfs>
  <cellXfs count="261">
    <xf numFmtId="0" fontId="0" fillId="0" borderId="0" xfId="0"/>
    <xf numFmtId="0" fontId="2" fillId="0" borderId="0" xfId="0" applyFont="1"/>
    <xf numFmtId="0" fontId="0" fillId="0" borderId="8" xfId="0" applyBorder="1"/>
    <xf numFmtId="0" fontId="0" fillId="0" borderId="0" xfId="0" applyAlignment="1">
      <alignment horizontal="left"/>
    </xf>
    <xf numFmtId="0" fontId="2" fillId="0" borderId="8" xfId="0" applyFont="1" applyBorder="1"/>
    <xf numFmtId="0" fontId="4" fillId="0" borderId="0" xfId="0" applyFont="1"/>
    <xf numFmtId="0" fontId="0" fillId="0" borderId="1" xfId="0" applyBorder="1"/>
    <xf numFmtId="0" fontId="0" fillId="0" borderId="2" xfId="0" applyBorder="1"/>
    <xf numFmtId="0" fontId="0" fillId="0" borderId="3" xfId="0" applyBorder="1"/>
    <xf numFmtId="0" fontId="0" fillId="0" borderId="7" xfId="0" applyBorder="1"/>
    <xf numFmtId="0" fontId="0" fillId="0" borderId="9" xfId="0" applyBorder="1"/>
    <xf numFmtId="0" fontId="0" fillId="0" borderId="0" xfId="0" applyAlignment="1">
      <alignment vertical="center" wrapText="1"/>
    </xf>
    <xf numFmtId="15" fontId="0" fillId="0" borderId="0" xfId="0" applyNumberFormat="1" applyAlignment="1">
      <alignment vertical="center" wrapText="1"/>
    </xf>
    <xf numFmtId="0" fontId="2" fillId="0" borderId="29" xfId="0" applyFont="1" applyBorder="1"/>
    <xf numFmtId="0" fontId="0" fillId="0" borderId="18" xfId="0" applyBorder="1"/>
    <xf numFmtId="0" fontId="0" fillId="0" borderId="29" xfId="0" applyBorder="1"/>
    <xf numFmtId="0" fontId="0" fillId="2" borderId="6" xfId="0" applyFill="1" applyBorder="1" applyAlignment="1">
      <alignment horizontal="left"/>
    </xf>
    <xf numFmtId="0" fontId="0" fillId="2" borderId="18" xfId="0" applyFill="1" applyBorder="1" applyAlignment="1">
      <alignment horizontal="left"/>
    </xf>
    <xf numFmtId="0" fontId="0" fillId="2" borderId="4" xfId="0" applyFill="1" applyBorder="1" applyAlignment="1">
      <alignment horizontal="left"/>
    </xf>
    <xf numFmtId="0" fontId="0" fillId="2" borderId="0" xfId="0" applyFill="1"/>
    <xf numFmtId="0" fontId="2" fillId="0" borderId="6" xfId="0" applyFont="1" applyBorder="1"/>
    <xf numFmtId="0" fontId="2" fillId="0" borderId="8" xfId="0" applyFont="1" applyBorder="1" applyAlignment="1">
      <alignment horizontal="left"/>
    </xf>
    <xf numFmtId="0" fontId="2" fillId="2" borderId="6" xfId="0" applyFont="1" applyFill="1" applyBorder="1"/>
    <xf numFmtId="0" fontId="2" fillId="2" borderId="8" xfId="0" applyFont="1" applyFill="1" applyBorder="1"/>
    <xf numFmtId="0" fontId="4" fillId="0" borderId="0" xfId="0" applyFont="1" applyAlignment="1">
      <alignment horizontal="center"/>
    </xf>
    <xf numFmtId="0" fontId="2" fillId="0" borderId="4" xfId="0" applyFont="1" applyBorder="1"/>
    <xf numFmtId="0" fontId="2" fillId="0" borderId="5" xfId="0" applyFont="1" applyBorder="1"/>
    <xf numFmtId="0" fontId="2" fillId="0" borderId="30" xfId="0" applyFont="1" applyBorder="1"/>
    <xf numFmtId="0" fontId="2" fillId="3" borderId="27" xfId="0" applyFont="1" applyFill="1" applyBorder="1"/>
    <xf numFmtId="1" fontId="0" fillId="0" borderId="0" xfId="0" applyNumberFormat="1" applyAlignment="1">
      <alignment horizontal="center"/>
    </xf>
    <xf numFmtId="1" fontId="0" fillId="0" borderId="33" xfId="0" applyNumberFormat="1" applyBorder="1" applyAlignment="1">
      <alignment horizontal="center"/>
    </xf>
    <xf numFmtId="2" fontId="0" fillId="0" borderId="0" xfId="0" applyNumberFormat="1" applyAlignment="1">
      <alignment horizontal="center"/>
    </xf>
    <xf numFmtId="2" fontId="0" fillId="0" borderId="33" xfId="0" applyNumberFormat="1" applyBorder="1" applyAlignment="1">
      <alignment horizontal="center"/>
    </xf>
    <xf numFmtId="0" fontId="2" fillId="2" borderId="6" xfId="0" applyFont="1" applyFill="1" applyBorder="1" applyAlignment="1">
      <alignment horizontal="left"/>
    </xf>
    <xf numFmtId="0" fontId="2" fillId="2" borderId="18" xfId="0" applyFont="1" applyFill="1" applyBorder="1" applyAlignment="1">
      <alignment horizontal="left"/>
    </xf>
    <xf numFmtId="0" fontId="2" fillId="2" borderId="4" xfId="0" applyFont="1" applyFill="1" applyBorder="1" applyAlignment="1">
      <alignment horizontal="left"/>
    </xf>
    <xf numFmtId="0" fontId="10" fillId="2" borderId="8" xfId="0" applyFont="1" applyFill="1" applyBorder="1"/>
    <xf numFmtId="0" fontId="11" fillId="2" borderId="6" xfId="0" applyFont="1" applyFill="1" applyBorder="1" applyAlignment="1">
      <alignment horizontal="left"/>
    </xf>
    <xf numFmtId="0" fontId="11" fillId="2" borderId="18" xfId="0" applyFont="1" applyFill="1" applyBorder="1" applyAlignment="1">
      <alignment horizontal="left"/>
    </xf>
    <xf numFmtId="0" fontId="11" fillId="2" borderId="4" xfId="0" applyFont="1" applyFill="1" applyBorder="1" applyAlignment="1">
      <alignment horizontal="left"/>
    </xf>
    <xf numFmtId="0" fontId="11" fillId="2" borderId="0" xfId="0" applyFont="1" applyFill="1"/>
    <xf numFmtId="0" fontId="0" fillId="2" borderId="6" xfId="0" applyFill="1" applyBorder="1"/>
    <xf numFmtId="0" fontId="0" fillId="2" borderId="18" xfId="0" applyFill="1" applyBorder="1"/>
    <xf numFmtId="0" fontId="0" fillId="2" borderId="4" xfId="0" applyFill="1" applyBorder="1"/>
    <xf numFmtId="0" fontId="0" fillId="0" borderId="31" xfId="0" applyBorder="1"/>
    <xf numFmtId="0" fontId="0" fillId="0" borderId="30" xfId="0" applyBorder="1"/>
    <xf numFmtId="0" fontId="0" fillId="0" borderId="5" xfId="0" applyBorder="1" applyAlignment="1">
      <alignment vertical="center"/>
    </xf>
    <xf numFmtId="1" fontId="0" fillId="0" borderId="33" xfId="0" applyNumberFormat="1" applyBorder="1" applyAlignment="1">
      <alignment horizontal="center" vertical="center"/>
    </xf>
    <xf numFmtId="0" fontId="14" fillId="7" borderId="24" xfId="0" applyFont="1" applyFill="1" applyBorder="1" applyAlignment="1">
      <alignment wrapText="1"/>
    </xf>
    <xf numFmtId="0" fontId="14" fillId="7" borderId="20" xfId="0" applyFont="1" applyFill="1" applyBorder="1" applyAlignment="1">
      <alignment wrapText="1"/>
    </xf>
    <xf numFmtId="0" fontId="14" fillId="7" borderId="19" xfId="0" applyFont="1" applyFill="1" applyBorder="1" applyAlignment="1">
      <alignment wrapText="1"/>
    </xf>
    <xf numFmtId="0" fontId="13" fillId="0" borderId="0" xfId="0" applyFont="1" applyAlignment="1">
      <alignment wrapText="1"/>
    </xf>
    <xf numFmtId="0" fontId="15" fillId="0" borderId="0" xfId="0" applyFont="1" applyAlignment="1">
      <alignment wrapText="1"/>
    </xf>
    <xf numFmtId="1" fontId="0" fillId="0" borderId="0" xfId="0" applyNumberFormat="1" applyAlignment="1">
      <alignment horizontal="center" vertical="center"/>
    </xf>
    <xf numFmtId="1" fontId="0" fillId="0" borderId="38" xfId="0" applyNumberFormat="1" applyBorder="1" applyAlignment="1">
      <alignment horizontal="center" vertical="center"/>
    </xf>
    <xf numFmtId="2" fontId="4" fillId="0" borderId="12" xfId="0" applyNumberFormat="1" applyFont="1" applyBorder="1" applyAlignment="1">
      <alignment horizontal="center" vertical="center"/>
    </xf>
    <xf numFmtId="0" fontId="0" fillId="5" borderId="0" xfId="0" applyFill="1" applyAlignment="1">
      <alignment vertical="center" wrapText="1"/>
    </xf>
    <xf numFmtId="0" fontId="0" fillId="0" borderId="0" xfId="0" applyAlignment="1">
      <alignment vertical="top" wrapText="1"/>
    </xf>
    <xf numFmtId="0" fontId="2" fillId="3" borderId="14" xfId="0" applyFont="1" applyFill="1" applyBorder="1" applyAlignment="1">
      <alignment vertical="top" wrapText="1"/>
    </xf>
    <xf numFmtId="0" fontId="2" fillId="0" borderId="8" xfId="0" applyFont="1" applyBorder="1" applyAlignment="1">
      <alignment horizontal="center" vertical="top" wrapText="1"/>
    </xf>
    <xf numFmtId="0" fontId="2" fillId="2" borderId="8" xfId="0" applyFont="1" applyFill="1" applyBorder="1" applyAlignment="1">
      <alignment horizontal="center" vertical="top" wrapText="1"/>
    </xf>
    <xf numFmtId="0" fontId="2" fillId="0" borderId="29" xfId="0" applyFont="1" applyBorder="1" applyAlignment="1">
      <alignment horizontal="center" vertical="top" wrapText="1"/>
    </xf>
    <xf numFmtId="0" fontId="0" fillId="0" borderId="0" xfId="0" applyAlignment="1">
      <alignment horizontal="center"/>
    </xf>
    <xf numFmtId="1" fontId="0" fillId="2" borderId="38" xfId="0" applyNumberFormat="1" applyFill="1" applyBorder="1" applyAlignment="1">
      <alignment horizontal="center" vertical="center"/>
    </xf>
    <xf numFmtId="1" fontId="2" fillId="3" borderId="12" xfId="0" applyNumberFormat="1" applyFont="1" applyFill="1" applyBorder="1" applyAlignment="1">
      <alignment horizontal="center" vertical="center"/>
    </xf>
    <xf numFmtId="0" fontId="2" fillId="3" borderId="12" xfId="0" applyFont="1" applyFill="1" applyBorder="1" applyAlignment="1">
      <alignment vertical="center"/>
    </xf>
    <xf numFmtId="1" fontId="2" fillId="3" borderId="13" xfId="0" applyNumberFormat="1" applyFont="1" applyFill="1" applyBorder="1" applyAlignment="1">
      <alignment horizontal="center" vertical="center"/>
    </xf>
    <xf numFmtId="2" fontId="2" fillId="3" borderId="12" xfId="0" applyNumberFormat="1" applyFont="1" applyFill="1" applyBorder="1" applyAlignment="1">
      <alignment horizontal="center" vertical="center"/>
    </xf>
    <xf numFmtId="1" fontId="0" fillId="0" borderId="0" xfId="0" applyNumberFormat="1"/>
    <xf numFmtId="0" fontId="11" fillId="2" borderId="18" xfId="0" applyFont="1" applyFill="1" applyBorder="1"/>
    <xf numFmtId="0" fontId="11" fillId="2" borderId="4" xfId="0" applyFont="1" applyFill="1" applyBorder="1"/>
    <xf numFmtId="0" fontId="2" fillId="0" borderId="8" xfId="0" applyFont="1" applyBorder="1" applyAlignment="1">
      <alignment horizontal="center" vertical="center" wrapText="1"/>
    </xf>
    <xf numFmtId="0" fontId="0" fillId="0" borderId="0" xfId="0"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22" xfId="0" applyBorder="1" applyAlignment="1">
      <alignment vertical="center"/>
    </xf>
    <xf numFmtId="0" fontId="9" fillId="2" borderId="8" xfId="0" applyFont="1" applyFill="1" applyBorder="1" applyAlignment="1">
      <alignment horizontal="center" vertical="top" wrapText="1"/>
    </xf>
    <xf numFmtId="0" fontId="9" fillId="2" borderId="8" xfId="0" applyFont="1" applyFill="1" applyBorder="1"/>
    <xf numFmtId="1" fontId="5" fillId="2" borderId="33" xfId="0" applyNumberFormat="1" applyFont="1" applyFill="1" applyBorder="1" applyAlignment="1">
      <alignment horizontal="center" vertical="center"/>
    </xf>
    <xf numFmtId="1" fontId="5" fillId="2" borderId="38" xfId="0" applyNumberFormat="1" applyFont="1" applyFill="1" applyBorder="1" applyAlignment="1">
      <alignment horizontal="center" vertical="center"/>
    </xf>
    <xf numFmtId="0" fontId="5" fillId="2" borderId="18" xfId="0" applyFont="1" applyFill="1" applyBorder="1"/>
    <xf numFmtId="0" fontId="5" fillId="2" borderId="4" xfId="0" applyFont="1" applyFill="1" applyBorder="1"/>
    <xf numFmtId="0" fontId="5" fillId="2" borderId="0" xfId="0" applyFont="1" applyFill="1"/>
    <xf numFmtId="0" fontId="16" fillId="0" borderId="33" xfId="0" applyFont="1" applyBorder="1" applyAlignment="1">
      <alignment horizontal="center" vertical="center"/>
    </xf>
    <xf numFmtId="2" fontId="2" fillId="3" borderId="13" xfId="0" applyNumberFormat="1" applyFont="1" applyFill="1" applyBorder="1" applyAlignment="1">
      <alignment vertical="center"/>
    </xf>
    <xf numFmtId="2" fontId="0" fillId="0" borderId="0" xfId="0" applyNumberFormat="1" applyAlignment="1">
      <alignment vertical="center"/>
    </xf>
    <xf numFmtId="2" fontId="0" fillId="0" borderId="6" xfId="0" applyNumberFormat="1" applyBorder="1" applyAlignment="1">
      <alignment horizontal="center" vertical="center"/>
    </xf>
    <xf numFmtId="1" fontId="0" fillId="0" borderId="43" xfId="0" applyNumberFormat="1" applyBorder="1" applyAlignment="1">
      <alignment horizontal="center" vertical="center"/>
    </xf>
    <xf numFmtId="1" fontId="0" fillId="0" borderId="39" xfId="0" applyNumberFormat="1" applyBorder="1" applyAlignment="1">
      <alignment horizontal="center" vertical="center"/>
    </xf>
    <xf numFmtId="2" fontId="4" fillId="0" borderId="8" xfId="0" applyNumberFormat="1" applyFont="1" applyBorder="1" applyAlignment="1">
      <alignment horizontal="center"/>
    </xf>
    <xf numFmtId="0" fontId="9" fillId="2" borderId="6" xfId="0" applyFont="1" applyFill="1" applyBorder="1" applyAlignment="1">
      <alignment horizontal="left"/>
    </xf>
    <xf numFmtId="0" fontId="9" fillId="2" borderId="18" xfId="0" applyFont="1" applyFill="1" applyBorder="1" applyAlignment="1">
      <alignment horizontal="left"/>
    </xf>
    <xf numFmtId="0" fontId="9" fillId="2" borderId="4" xfId="0" applyFont="1" applyFill="1" applyBorder="1" applyAlignment="1">
      <alignment horizontal="left"/>
    </xf>
    <xf numFmtId="0" fontId="9" fillId="2" borderId="6" xfId="0" applyFont="1" applyFill="1" applyBorder="1" applyAlignment="1">
      <alignment horizontal="center"/>
    </xf>
    <xf numFmtId="0" fontId="2" fillId="2" borderId="29" xfId="0" applyFont="1" applyFill="1" applyBorder="1" applyAlignment="1">
      <alignment horizontal="center" vertical="top" wrapText="1"/>
    </xf>
    <xf numFmtId="0" fontId="2" fillId="2" borderId="30" xfId="0" applyFont="1" applyFill="1" applyBorder="1"/>
    <xf numFmtId="0" fontId="9" fillId="2" borderId="30" xfId="0" applyFont="1" applyFill="1" applyBorder="1" applyAlignment="1">
      <alignment horizontal="center"/>
    </xf>
    <xf numFmtId="0" fontId="2" fillId="2" borderId="18" xfId="0" applyFont="1" applyFill="1" applyBorder="1"/>
    <xf numFmtId="0" fontId="2" fillId="0" borderId="38" xfId="0" applyFont="1" applyBorder="1" applyAlignment="1">
      <alignment horizontal="center" vertical="center"/>
    </xf>
    <xf numFmtId="0" fontId="2" fillId="0" borderId="56" xfId="0" applyFont="1" applyBorder="1" applyAlignment="1">
      <alignment horizontal="center" vertical="center"/>
    </xf>
    <xf numFmtId="0" fontId="2" fillId="0" borderId="0" xfId="0" applyFont="1" applyAlignment="1">
      <alignment vertical="center" wrapText="1"/>
    </xf>
    <xf numFmtId="0" fontId="2" fillId="0" borderId="38" xfId="0" applyFont="1" applyBorder="1" applyAlignment="1">
      <alignment horizontal="center" vertical="center" wrapText="1"/>
    </xf>
    <xf numFmtId="0" fontId="2" fillId="0" borderId="38" xfId="0" applyFont="1" applyBorder="1" applyAlignment="1">
      <alignment vertical="center"/>
    </xf>
    <xf numFmtId="1" fontId="0" fillId="0" borderId="43" xfId="0" applyNumberFormat="1" applyBorder="1" applyAlignment="1">
      <alignment vertical="center"/>
    </xf>
    <xf numFmtId="0" fontId="0" fillId="0" borderId="8" xfId="0" applyBorder="1" applyAlignment="1">
      <alignment vertical="center"/>
    </xf>
    <xf numFmtId="2" fontId="4" fillId="0" borderId="58" xfId="0" applyNumberFormat="1" applyFont="1" applyBorder="1" applyAlignment="1">
      <alignment horizontal="center" vertical="center"/>
    </xf>
    <xf numFmtId="0" fontId="0" fillId="0" borderId="18" xfId="0" applyBorder="1" applyAlignment="1">
      <alignment vertical="center"/>
    </xf>
    <xf numFmtId="0" fontId="0" fillId="0" borderId="4" xfId="0" applyBorder="1" applyAlignment="1">
      <alignment vertical="center"/>
    </xf>
    <xf numFmtId="0" fontId="0" fillId="2" borderId="6" xfId="0" applyFill="1" applyBorder="1" applyAlignment="1">
      <alignment horizontal="left" vertical="center"/>
    </xf>
    <xf numFmtId="0" fontId="0" fillId="2" borderId="18" xfId="0" applyFill="1" applyBorder="1" applyAlignment="1">
      <alignment horizontal="left" vertical="center"/>
    </xf>
    <xf numFmtId="0" fontId="0" fillId="2" borderId="4" xfId="0" applyFill="1" applyBorder="1" applyAlignment="1">
      <alignment horizontal="left" vertical="center"/>
    </xf>
    <xf numFmtId="0" fontId="0" fillId="0" borderId="23" xfId="0" applyBorder="1" applyAlignment="1">
      <alignment vertical="center"/>
    </xf>
    <xf numFmtId="0" fontId="0" fillId="0" borderId="37" xfId="0" applyBorder="1" applyAlignment="1">
      <alignment vertical="center"/>
    </xf>
    <xf numFmtId="0" fontId="0" fillId="0" borderId="5" xfId="0" applyBorder="1" applyAlignment="1">
      <alignment vertical="center" wrapText="1"/>
    </xf>
    <xf numFmtId="0" fontId="16" fillId="0" borderId="33" xfId="0" applyFont="1" applyBorder="1" applyAlignment="1">
      <alignment horizontal="center" vertical="center" wrapText="1"/>
    </xf>
    <xf numFmtId="1" fontId="0" fillId="0" borderId="33" xfId="0" applyNumberFormat="1" applyBorder="1" applyAlignment="1">
      <alignment horizontal="center" vertical="center" wrapText="1"/>
    </xf>
    <xf numFmtId="0" fontId="0" fillId="0" borderId="28" xfId="0" applyBorder="1" applyAlignment="1">
      <alignment vertical="center" wrapText="1"/>
    </xf>
    <xf numFmtId="0" fontId="0" fillId="0" borderId="29" xfId="0" applyBorder="1" applyAlignment="1">
      <alignment vertical="center" wrapText="1"/>
    </xf>
    <xf numFmtId="0" fontId="0" fillId="0" borderId="22" xfId="0" applyBorder="1" applyAlignment="1">
      <alignment vertical="center" wrapText="1"/>
    </xf>
    <xf numFmtId="0" fontId="0" fillId="0" borderId="6" xfId="0" applyBorder="1" applyAlignment="1">
      <alignment vertical="center"/>
    </xf>
    <xf numFmtId="15" fontId="0" fillId="0" borderId="0" xfId="0" applyNumberFormat="1" applyAlignment="1">
      <alignment horizontal="center" vertical="center" wrapText="1"/>
    </xf>
    <xf numFmtId="0" fontId="0" fillId="0" borderId="59" xfId="0" applyBorder="1" applyAlignment="1">
      <alignment horizontal="center"/>
    </xf>
    <xf numFmtId="0" fontId="0" fillId="0" borderId="8" xfId="0" applyBorder="1" applyAlignment="1">
      <alignment horizontal="left"/>
    </xf>
    <xf numFmtId="0" fontId="0" fillId="2" borderId="8" xfId="0" applyFill="1" applyBorder="1" applyAlignment="1">
      <alignment horizontal="left"/>
    </xf>
    <xf numFmtId="0" fontId="0" fillId="0" borderId="8" xfId="0" applyBorder="1" applyAlignment="1">
      <alignment horizontal="center"/>
    </xf>
    <xf numFmtId="0" fontId="0" fillId="0" borderId="59" xfId="0" applyBorder="1" applyAlignment="1">
      <alignment horizontal="left" wrapText="1"/>
    </xf>
    <xf numFmtId="2" fontId="0" fillId="0" borderId="59" xfId="0" applyNumberFormat="1" applyBorder="1" applyAlignment="1">
      <alignment vertical="center" wrapText="1"/>
    </xf>
    <xf numFmtId="164" fontId="0" fillId="0" borderId="38" xfId="0" applyNumberFormat="1" applyBorder="1" applyAlignment="1">
      <alignment horizontal="center" vertical="center"/>
    </xf>
    <xf numFmtId="0" fontId="0" fillId="0" borderId="8" xfId="0" applyBorder="1" applyAlignment="1">
      <alignment horizontal="left" vertical="center"/>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0" fillId="0" borderId="59" xfId="0" applyBorder="1" applyAlignment="1">
      <alignment vertical="center" wrapText="1"/>
    </xf>
    <xf numFmtId="0" fontId="8" fillId="0" borderId="32" xfId="0" applyFont="1" applyBorder="1" applyAlignment="1">
      <alignment horizontal="center" vertical="center" wrapText="1"/>
    </xf>
    <xf numFmtId="0" fontId="8" fillId="0" borderId="64" xfId="0" applyFont="1" applyBorder="1" applyAlignment="1">
      <alignment horizontal="center" vertical="center" wrapText="1"/>
    </xf>
    <xf numFmtId="0" fontId="0" fillId="0" borderId="4" xfId="0" applyBorder="1" applyAlignment="1">
      <alignment vertical="center" wrapText="1"/>
    </xf>
    <xf numFmtId="0" fontId="0" fillId="2" borderId="8" xfId="0" applyFill="1" applyBorder="1" applyAlignment="1">
      <alignment horizontal="left" vertical="top" wrapText="1"/>
    </xf>
    <xf numFmtId="0" fontId="0" fillId="2" borderId="8" xfId="0" applyFill="1" applyBorder="1" applyAlignment="1">
      <alignment horizontal="left" vertical="center"/>
    </xf>
    <xf numFmtId="0" fontId="2" fillId="0" borderId="38" xfId="0" applyFont="1" applyBorder="1" applyAlignment="1">
      <alignment horizontal="center" vertical="center"/>
    </xf>
    <xf numFmtId="0" fontId="4" fillId="0" borderId="8" xfId="0" applyFont="1" applyBorder="1" applyAlignment="1">
      <alignment horizontal="center"/>
    </xf>
    <xf numFmtId="0" fontId="2" fillId="0" borderId="6" xfId="0" applyFont="1" applyBorder="1" applyAlignment="1">
      <alignment horizontal="center" vertical="center" wrapText="1"/>
    </xf>
    <xf numFmtId="0" fontId="9" fillId="0" borderId="8" xfId="0" applyFont="1" applyBorder="1" applyAlignment="1">
      <alignment horizontal="left"/>
    </xf>
    <xf numFmtId="0" fontId="0" fillId="0" borderId="59" xfId="0" applyBorder="1" applyAlignment="1">
      <alignment horizontal="left"/>
    </xf>
    <xf numFmtId="0" fontId="0" fillId="0" borderId="59" xfId="0" applyBorder="1" applyAlignment="1">
      <alignment horizontal="left" vertical="center" wrapText="1"/>
    </xf>
    <xf numFmtId="0" fontId="2" fillId="0" borderId="54" xfId="0" applyFont="1" applyBorder="1" applyAlignment="1">
      <alignment horizontal="center" vertical="center"/>
    </xf>
    <xf numFmtId="0" fontId="2" fillId="2" borderId="4" xfId="0" applyFont="1" applyFill="1" applyBorder="1" applyAlignment="1">
      <alignment horizontal="center" vertical="center"/>
    </xf>
    <xf numFmtId="0" fontId="2" fillId="3" borderId="27" xfId="0" applyFont="1" applyFill="1" applyBorder="1" applyAlignment="1">
      <alignment horizontal="center"/>
    </xf>
    <xf numFmtId="0" fontId="0" fillId="0" borderId="8" xfId="0" applyBorder="1" applyAlignment="1">
      <alignment horizontal="center" vertical="top"/>
    </xf>
    <xf numFmtId="0" fontId="0" fillId="0" borderId="59" xfId="0" applyBorder="1" applyAlignment="1">
      <alignment vertical="center"/>
    </xf>
    <xf numFmtId="0" fontId="7" fillId="3" borderId="7" xfId="0" applyFont="1" applyFill="1" applyBorder="1" applyAlignment="1">
      <alignment horizontal="left" vertical="center" wrapText="1"/>
    </xf>
    <xf numFmtId="0" fontId="0" fillId="0" borderId="59" xfId="0" applyBorder="1" applyAlignment="1">
      <alignment wrapText="1"/>
    </xf>
    <xf numFmtId="0" fontId="3" fillId="8" borderId="12" xfId="0" applyFont="1" applyFill="1" applyBorder="1" applyAlignment="1">
      <alignment horizontal="center" vertical="center"/>
    </xf>
    <xf numFmtId="0" fontId="2" fillId="0" borderId="8" xfId="0" applyFont="1" applyBorder="1" applyAlignment="1">
      <alignment horizontal="left"/>
    </xf>
    <xf numFmtId="0" fontId="0" fillId="5" borderId="8" xfId="0" applyFill="1" applyBorder="1" applyAlignment="1">
      <alignment horizontal="left"/>
    </xf>
    <xf numFmtId="0" fontId="2" fillId="3" borderId="12" xfId="0" applyFont="1" applyFill="1" applyBorder="1" applyAlignment="1">
      <alignment horizontal="center"/>
    </xf>
    <xf numFmtId="0" fontId="2" fillId="2" borderId="8" xfId="0" applyFont="1" applyFill="1" applyBorder="1" applyAlignment="1">
      <alignment horizontal="center" vertical="center"/>
    </xf>
    <xf numFmtId="164" fontId="0" fillId="0" borderId="65" xfId="0" applyNumberFormat="1" applyBorder="1" applyAlignment="1">
      <alignment horizontal="center" vertical="center"/>
    </xf>
    <xf numFmtId="0" fontId="0" fillId="2" borderId="8" xfId="0" applyFill="1" applyBorder="1" applyAlignment="1">
      <alignment horizontal="center"/>
    </xf>
    <xf numFmtId="0" fontId="0" fillId="0" borderId="5" xfId="0" applyBorder="1" applyAlignment="1">
      <alignment horizontal="left"/>
    </xf>
    <xf numFmtId="0" fontId="8" fillId="0" borderId="4" xfId="0" applyFont="1" applyBorder="1" applyAlignment="1">
      <alignment horizontal="center" vertical="center" wrapText="1"/>
    </xf>
    <xf numFmtId="0" fontId="7" fillId="3" borderId="66" xfId="0" applyFont="1" applyFill="1" applyBorder="1" applyAlignment="1">
      <alignment horizontal="left" vertical="center" wrapText="1"/>
    </xf>
    <xf numFmtId="0" fontId="0" fillId="2" borderId="59" xfId="0" applyFill="1" applyBorder="1" applyAlignment="1">
      <alignment horizontal="left" vertical="center"/>
    </xf>
    <xf numFmtId="0" fontId="5" fillId="2" borderId="8" xfId="0" applyFont="1" applyFill="1" applyBorder="1" applyAlignment="1">
      <alignment horizontal="center"/>
    </xf>
    <xf numFmtId="0" fontId="0" fillId="2" borderId="8" xfId="0" applyFill="1" applyBorder="1" applyAlignment="1">
      <alignment horizontal="left" vertical="center" wrapText="1"/>
    </xf>
    <xf numFmtId="0" fontId="0" fillId="0" borderId="59" xfId="0" applyBorder="1" applyAlignment="1">
      <alignment horizontal="left" vertical="center"/>
    </xf>
    <xf numFmtId="0" fontId="0" fillId="0" borderId="4" xfId="0" applyBorder="1" applyAlignment="1">
      <alignment horizontal="left" vertical="center" wrapText="1"/>
    </xf>
    <xf numFmtId="2" fontId="0" fillId="0" borderId="59" xfId="0" applyNumberFormat="1" applyBorder="1" applyAlignment="1">
      <alignment wrapText="1"/>
    </xf>
    <xf numFmtId="0" fontId="7" fillId="3" borderId="1" xfId="0" applyFont="1" applyFill="1" applyBorder="1" applyAlignment="1">
      <alignment horizontal="left" vertical="center" wrapText="1"/>
    </xf>
    <xf numFmtId="0" fontId="2" fillId="0" borderId="2" xfId="0" applyFont="1" applyBorder="1" applyAlignment="1">
      <alignment horizontal="center" vertical="center" wrapText="1"/>
    </xf>
    <xf numFmtId="0" fontId="2" fillId="0" borderId="29" xfId="0" applyFont="1" applyBorder="1" applyAlignment="1">
      <alignment horizontal="center" vertical="center"/>
    </xf>
    <xf numFmtId="0" fontId="7" fillId="3" borderId="8" xfId="0" applyFont="1" applyFill="1" applyBorder="1" applyAlignment="1">
      <alignment horizontal="left" vertical="center" wrapText="1"/>
    </xf>
    <xf numFmtId="0" fontId="6" fillId="0" borderId="14" xfId="0" applyFont="1" applyBorder="1" applyAlignment="1">
      <alignment horizontal="center" vertical="center"/>
    </xf>
    <xf numFmtId="0" fontId="7" fillId="3" borderId="21" xfId="0" applyFont="1" applyFill="1" applyBorder="1" applyAlignment="1">
      <alignment horizontal="left" vertical="center" wrapText="1"/>
    </xf>
    <xf numFmtId="0" fontId="8" fillId="0" borderId="17" xfId="0" applyFont="1" applyBorder="1" applyAlignment="1">
      <alignment horizontal="center" vertical="center" wrapText="1"/>
    </xf>
    <xf numFmtId="165" fontId="8" fillId="0" borderId="4" xfId="0" applyNumberFormat="1" applyFont="1" applyBorder="1" applyAlignment="1">
      <alignment horizontal="center" vertical="center" wrapText="1"/>
    </xf>
    <xf numFmtId="0" fontId="8" fillId="0" borderId="61" xfId="0" applyFont="1" applyBorder="1" applyAlignment="1">
      <alignment horizontal="center" vertical="center" wrapText="1"/>
    </xf>
    <xf numFmtId="0" fontId="2" fillId="0" borderId="69" xfId="0" applyFont="1" applyBorder="1" applyAlignment="1">
      <alignment horizontal="center" vertical="center" wrapText="1"/>
    </xf>
    <xf numFmtId="1" fontId="0" fillId="0" borderId="38" xfId="0" applyNumberFormat="1" applyBorder="1" applyAlignment="1">
      <alignment horizontal="center" vertical="center"/>
    </xf>
    <xf numFmtId="0" fontId="0" fillId="0" borderId="4" xfId="0" applyBorder="1" applyAlignment="1">
      <alignment wrapText="1"/>
    </xf>
    <xf numFmtId="0" fontId="2" fillId="0" borderId="2" xfId="0" applyFont="1" applyBorder="1" applyAlignment="1">
      <alignment horizontal="center" vertical="center"/>
    </xf>
    <xf numFmtId="0" fontId="0" fillId="2" borderId="8" xfId="0" applyFill="1" applyBorder="1" applyAlignment="1">
      <alignment horizontal="center" vertical="top" wrapText="1"/>
    </xf>
    <xf numFmtId="0" fontId="2" fillId="0" borderId="68" xfId="0" applyFont="1" applyBorder="1" applyAlignment="1">
      <alignment horizontal="center" vertical="center"/>
    </xf>
    <xf numFmtId="0" fontId="7" fillId="3" borderId="2" xfId="0" applyFont="1" applyFill="1" applyBorder="1" applyAlignment="1">
      <alignment horizontal="left" vertical="center" wrapText="1"/>
    </xf>
    <xf numFmtId="0" fontId="0" fillId="4" borderId="8" xfId="0" applyFill="1" applyBorder="1" applyAlignment="1">
      <alignment horizontal="left"/>
    </xf>
    <xf numFmtId="0" fontId="2" fillId="0" borderId="5" xfId="0" applyFont="1" applyBorder="1" applyAlignment="1">
      <alignment horizontal="center" vertical="center"/>
    </xf>
    <xf numFmtId="0" fontId="11" fillId="2" borderId="8" xfId="0" applyFont="1" applyFill="1" applyBorder="1" applyAlignment="1">
      <alignment horizontal="center"/>
    </xf>
    <xf numFmtId="165" fontId="8" fillId="0" borderId="64" xfId="0" applyNumberFormat="1" applyFont="1" applyBorder="1" applyAlignment="1">
      <alignment horizontal="center" vertical="center" wrapText="1"/>
    </xf>
    <xf numFmtId="0" fontId="9" fillId="2" borderId="8" xfId="0" applyFont="1" applyFill="1" applyBorder="1" applyAlignment="1">
      <alignment horizontal="left"/>
    </xf>
    <xf numFmtId="0" fontId="0" fillId="0" borderId="29" xfId="0" applyBorder="1" applyAlignment="1">
      <alignment horizontal="left"/>
    </xf>
    <xf numFmtId="2" fontId="0" fillId="0" borderId="59" xfId="0" applyNumberFormat="1" applyBorder="1" applyAlignment="1">
      <alignment horizontal="left" vertical="center" wrapText="1"/>
    </xf>
    <xf numFmtId="0" fontId="0" fillId="2" borderId="8" xfId="0" applyFill="1" applyBorder="1" applyAlignment="1">
      <alignment vertical="center" wrapText="1"/>
    </xf>
    <xf numFmtId="0" fontId="2" fillId="0" borderId="4" xfId="0" applyFont="1" applyBorder="1" applyAlignment="1">
      <alignment horizontal="center"/>
    </xf>
    <xf numFmtId="0" fontId="16" fillId="0" borderId="67" xfId="0" applyFont="1" applyBorder="1" applyAlignment="1">
      <alignment horizontal="left" vertical="center" wrapText="1"/>
    </xf>
    <xf numFmtId="0" fontId="8" fillId="0" borderId="63" xfId="0" applyFont="1" applyBorder="1" applyAlignment="1">
      <alignment horizontal="center" vertical="center" wrapText="1"/>
    </xf>
    <xf numFmtId="0" fontId="0" fillId="2" borderId="8" xfId="0" applyFill="1" applyBorder="1" applyAlignment="1">
      <alignment vertical="center"/>
    </xf>
    <xf numFmtId="0" fontId="0" fillId="0" borderId="0" xfId="0" applyAlignment="1">
      <alignment horizontal="center"/>
    </xf>
    <xf numFmtId="0" fontId="14" fillId="7" borderId="7" xfId="0" applyFont="1" applyFill="1" applyBorder="1" applyAlignment="1">
      <alignment wrapText="1"/>
    </xf>
    <xf numFmtId="0" fontId="13" fillId="0" borderId="13" xfId="0" applyFont="1" applyBorder="1" applyAlignment="1">
      <alignment horizontal="center"/>
    </xf>
    <xf numFmtId="15" fontId="15" fillId="0" borderId="41" xfId="0" applyNumberFormat="1" applyFont="1" applyBorder="1" applyAlignment="1">
      <alignment horizontal="center" vertical="center" wrapText="1"/>
    </xf>
    <xf numFmtId="0" fontId="14" fillId="7" borderId="66" xfId="0" applyFont="1" applyFill="1" applyBorder="1" applyAlignment="1">
      <alignment wrapText="1"/>
    </xf>
    <xf numFmtId="0" fontId="12" fillId="6" borderId="70" xfId="0" applyFont="1" applyFill="1" applyBorder="1" applyAlignment="1">
      <alignment horizontal="center"/>
    </xf>
    <xf numFmtId="0" fontId="15" fillId="0" borderId="41" xfId="0" applyFont="1" applyBorder="1" applyAlignment="1">
      <alignment horizontal="center" vertical="center" wrapText="1"/>
    </xf>
    <xf numFmtId="0" fontId="15" fillId="0" borderId="16" xfId="0" applyFont="1" applyBorder="1" applyAlignment="1">
      <alignment horizontal="center" vertical="center" wrapText="1"/>
    </xf>
    <xf numFmtId="15" fontId="15" fillId="0" borderId="18" xfId="0" applyNumberFormat="1" applyFont="1" applyBorder="1" applyAlignment="1">
      <alignment horizontal="center" vertical="center" wrapText="1"/>
    </xf>
    <xf numFmtId="0" fontId="15" fillId="0" borderId="42" xfId="0" applyFont="1" applyBorder="1" applyAlignment="1">
      <alignment horizontal="center" vertical="center" wrapText="1"/>
    </xf>
    <xf numFmtId="0" fontId="14" fillId="7" borderId="1" xfId="0" applyFont="1" applyFill="1" applyBorder="1" applyAlignment="1">
      <alignment wrapText="1"/>
    </xf>
    <xf numFmtId="0" fontId="0" fillId="2" borderId="59" xfId="0" applyFill="1" applyBorder="1" applyAlignment="1">
      <alignment vertical="center" wrapText="1"/>
    </xf>
    <xf numFmtId="0" fontId="11" fillId="5" borderId="59" xfId="0" applyFont="1" applyFill="1" applyBorder="1" applyAlignment="1">
      <alignment horizontal="left" vertical="center" wrapText="1"/>
    </xf>
    <xf numFmtId="0" fontId="0" fillId="0" borderId="13" xfId="0" applyBorder="1" applyAlignment="1"/>
    <xf numFmtId="0" fontId="0" fillId="0" borderId="15" xfId="0" applyBorder="1" applyAlignment="1"/>
    <xf numFmtId="0" fontId="0" fillId="0" borderId="17" xfId="0" applyBorder="1" applyAlignment="1"/>
    <xf numFmtId="0" fontId="0" fillId="0" borderId="24" xfId="0" applyBorder="1" applyAlignment="1"/>
    <xf numFmtId="0" fontId="0" fillId="0" borderId="25" xfId="0" applyBorder="1" applyAlignment="1"/>
    <xf numFmtId="0" fontId="0" fillId="0" borderId="4" xfId="0" applyBorder="1" applyAlignment="1"/>
    <xf numFmtId="0" fontId="0" fillId="0" borderId="18" xfId="0" applyBorder="1" applyAlignment="1"/>
    <xf numFmtId="0" fontId="0" fillId="0" borderId="26" xfId="0" applyBorder="1" applyAlignment="1"/>
    <xf numFmtId="0" fontId="0" fillId="0" borderId="32" xfId="0" applyBorder="1" applyAlignment="1"/>
    <xf numFmtId="0" fontId="0" fillId="0" borderId="35" xfId="0" applyBorder="1" applyAlignment="1"/>
    <xf numFmtId="0" fontId="0" fillId="0" borderId="36" xfId="0" applyBorder="1" applyAlignment="1"/>
    <xf numFmtId="0" fontId="0" fillId="0" borderId="60" xfId="0" applyBorder="1" applyAlignment="1"/>
    <xf numFmtId="0" fontId="0" fillId="0" borderId="20" xfId="0" applyBorder="1" applyAlignment="1"/>
    <xf numFmtId="0" fontId="0" fillId="0" borderId="34" xfId="0" applyBorder="1" applyAlignment="1"/>
    <xf numFmtId="2" fontId="0" fillId="0" borderId="62" xfId="0" applyNumberFormat="1" applyBorder="1" applyAlignment="1"/>
    <xf numFmtId="0" fontId="0" fillId="0" borderId="10" xfId="0" applyBorder="1" applyAlignment="1"/>
    <xf numFmtId="0" fontId="0" fillId="0" borderId="53" xfId="0" applyBorder="1" applyAlignment="1"/>
    <xf numFmtId="2" fontId="0" fillId="0" borderId="59" xfId="0" applyNumberFormat="1" applyBorder="1" applyAlignment="1"/>
    <xf numFmtId="0" fontId="0" fillId="0" borderId="0" xfId="0" applyAlignment="1"/>
    <xf numFmtId="0" fontId="0" fillId="0" borderId="5" xfId="0" applyBorder="1" applyAlignment="1"/>
    <xf numFmtId="0" fontId="0" fillId="0" borderId="39" xfId="0" applyBorder="1" applyAlignment="1"/>
    <xf numFmtId="0" fontId="0" fillId="0" borderId="59" xfId="0" applyBorder="1" applyAlignment="1"/>
    <xf numFmtId="0" fontId="0" fillId="0" borderId="11" xfId="0" applyBorder="1" applyAlignment="1"/>
    <xf numFmtId="0" fontId="0" fillId="0" borderId="31" xfId="0" applyBorder="1" applyAlignment="1"/>
    <xf numFmtId="0" fontId="0" fillId="0" borderId="46" xfId="0" applyBorder="1" applyAlignment="1"/>
    <xf numFmtId="0" fontId="0" fillId="2" borderId="59" xfId="0" applyFill="1" applyBorder="1" applyAlignment="1"/>
    <xf numFmtId="0" fontId="0" fillId="2" borderId="18" xfId="0" applyFill="1" applyBorder="1" applyAlignment="1"/>
    <xf numFmtId="0" fontId="0" fillId="2" borderId="4" xfId="0" applyFill="1" applyBorder="1" applyAlignment="1"/>
    <xf numFmtId="0" fontId="0" fillId="0" borderId="44" xfId="0" applyBorder="1" applyAlignment="1"/>
    <xf numFmtId="0" fontId="0" fillId="0" borderId="45" xfId="0" applyBorder="1" applyAlignment="1"/>
    <xf numFmtId="0" fontId="0" fillId="2" borderId="8" xfId="0" applyFill="1" applyBorder="1" applyAlignment="1"/>
    <xf numFmtId="0" fontId="0" fillId="0" borderId="8" xfId="0" applyBorder="1" applyAlignment="1"/>
    <xf numFmtId="0" fontId="0" fillId="2" borderId="0" xfId="0" applyFill="1" applyAlignment="1"/>
    <xf numFmtId="0" fontId="0" fillId="0" borderId="55" xfId="0" applyBorder="1" applyAlignment="1"/>
    <xf numFmtId="0" fontId="0" fillId="0" borderId="57" xfId="0" applyBorder="1" applyAlignment="1"/>
    <xf numFmtId="0" fontId="11" fillId="0" borderId="11" xfId="0" applyFont="1" applyBorder="1" applyAlignment="1"/>
    <xf numFmtId="0" fontId="11" fillId="0" borderId="31" xfId="0" applyFont="1" applyBorder="1" applyAlignment="1"/>
    <xf numFmtId="0" fontId="11" fillId="0" borderId="44" xfId="0" applyFont="1" applyBorder="1" applyAlignment="1"/>
    <xf numFmtId="0" fontId="11" fillId="0" borderId="0" xfId="0" applyFont="1" applyAlignment="1"/>
    <xf numFmtId="0" fontId="11" fillId="0" borderId="45" xfId="0" applyFont="1" applyBorder="1" applyAlignment="1"/>
    <xf numFmtId="0" fontId="11" fillId="0" borderId="46" xfId="0" applyFont="1" applyBorder="1" applyAlignment="1"/>
    <xf numFmtId="0" fontId="11" fillId="0" borderId="20" xfId="0" applyFont="1" applyBorder="1" applyAlignment="1"/>
    <xf numFmtId="0" fontId="11" fillId="0" borderId="34" xfId="0" applyFont="1" applyBorder="1" applyAlignment="1"/>
    <xf numFmtId="0" fontId="0" fillId="0" borderId="47" xfId="0" applyBorder="1" applyAlignment="1"/>
    <xf numFmtId="0" fontId="0" fillId="0" borderId="52" xfId="0" applyBorder="1" applyAlignment="1"/>
    <xf numFmtId="0" fontId="0" fillId="0" borderId="48" xfId="0" applyBorder="1" applyAlignment="1"/>
    <xf numFmtId="0" fontId="0" fillId="0" borderId="33" xfId="0" applyBorder="1" applyAlignment="1"/>
    <xf numFmtId="0" fontId="0" fillId="0" borderId="49" xfId="0" applyBorder="1" applyAlignment="1"/>
    <xf numFmtId="0" fontId="0" fillId="0" borderId="50" xfId="0" applyBorder="1" applyAlignment="1"/>
    <xf numFmtId="0" fontId="0" fillId="0" borderId="51" xfId="0" applyBorder="1" applyAlignment="1"/>
    <xf numFmtId="0" fontId="4" fillId="0" borderId="59" xfId="0" applyFont="1" applyBorder="1" applyAlignment="1"/>
    <xf numFmtId="0" fontId="0" fillId="0" borderId="40" xfId="0" applyBorder="1" applyAlignment="1"/>
    <xf numFmtId="0" fontId="0" fillId="0" borderId="41" xfId="0" applyBorder="1" applyAlignment="1"/>
    <xf numFmtId="0" fontId="0" fillId="0" borderId="42" xfId="0" applyBorder="1" applyAlignment="1"/>
  </cellXfs>
  <cellStyles count="3">
    <cellStyle name="Normal" xfId="0" builtinId="0"/>
    <cellStyle name="Normal 2" xfId="2" xr:uid="{00000000-0005-0000-0000-000002000000}"/>
    <cellStyle name="Normal 3" xfId="1" xr:uid="{00000000-0005-0000-0000-000001000000}"/>
  </cellStyles>
  <dxfs count="27">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fill>
        <patternFill patternType="solid">
          <fgColor indexed="64"/>
          <bgColor rgb="FFFFFF00"/>
        </patternFill>
      </fill>
      <alignment horizontal="general" vertical="center" wrapText="1"/>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FF0000"/>
      </font>
      <fill>
        <patternFill>
          <bgColor rgb="FFFFC0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12:M17" insertRowShift="1" totalsRowShown="0" headerRowDxfId="14" dataDxfId="13">
  <autoFilter ref="A12:M17" xr:uid="{00000000-0009-0000-0100-000001000000}"/>
  <tableColumns count="13">
    <tableColumn id="1" xr3:uid="{00000000-0010-0000-0000-000001000000}" name="Sr. No." dataDxfId="12"/>
    <tableColumn id="2" xr3:uid="{00000000-0010-0000-0000-000002000000}" name="Date of Audit" dataDxfId="11"/>
    <tableColumn id="11" xr3:uid="{00000000-0010-0000-0000-00000B000000}" name="Category" dataDxfId="10"/>
    <tableColumn id="3" xr3:uid="{00000000-0010-0000-0000-000003000000}" name="Finding" dataDxfId="9"/>
    <tableColumn id="4" xr3:uid="{00000000-0010-0000-0000-000004000000}" name="Area" dataDxfId="8"/>
    <tableColumn id="12" xr3:uid="{00000000-0010-0000-0000-00000C000000}" name="Details" dataDxfId="7"/>
    <tableColumn id="5" xr3:uid="{00000000-0010-0000-0000-000005000000}" name="Cause" dataDxfId="6"/>
    <tableColumn id="6" xr3:uid="{00000000-0010-0000-0000-000006000000}" name="Correction" dataDxfId="5"/>
    <tableColumn id="7" xr3:uid="{00000000-0010-0000-0000-000007000000}" name="Prevention" dataDxfId="4"/>
    <tableColumn id="8" xr3:uid="{00000000-0010-0000-0000-000008000000}" name="Status" dataDxfId="3"/>
    <tableColumn id="9" xr3:uid="{00000000-0010-0000-0000-000009000000}" name="Closed Date" dataDxfId="2"/>
    <tableColumn id="10" xr3:uid="{00000000-0010-0000-0000-00000A000000}" name="Closure Comments" dataDxfId="1"/>
    <tableColumn id="13" xr3:uid="{00000000-0010-0000-0000-00000D000000}" name="Column1" dataDxfId="0"/>
  </tableColumns>
  <tableStyleInfo name="TableStyleLight1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5"/>
  <sheetViews>
    <sheetView showGridLines="0" tabSelected="1" topLeftCell="B289" zoomScaleNormal="100" workbookViewId="0">
      <selection activeCell="D301" sqref="D301:K301"/>
    </sheetView>
  </sheetViews>
  <sheetFormatPr defaultRowHeight="15" customHeight="1"/>
  <cols>
    <col min="1" max="1" width="9.140625" style="57" customWidth="1"/>
    <col min="2" max="2" width="27.85546875" style="1" customWidth="1"/>
    <col min="3" max="3" width="22.85546875" style="1" customWidth="1"/>
    <col min="4" max="5" width="8.7109375" style="3" customWidth="1"/>
    <col min="6" max="6" width="11.5703125" style="3" customWidth="1"/>
    <col min="7" max="7" width="16.5703125" style="3" bestFit="1" customWidth="1"/>
    <col min="8" max="11" width="8.7109375" style="3" customWidth="1"/>
    <col min="12" max="12" width="16.140625" customWidth="1"/>
    <col min="13" max="13" width="10.7109375" style="85" bestFit="1" customWidth="1"/>
    <col min="14" max="14" width="10.7109375" style="31" customWidth="1"/>
    <col min="15" max="15" width="14.7109375" style="29" bestFit="1" customWidth="1"/>
    <col min="16" max="16" width="14.7109375" style="29" customWidth="1"/>
    <col min="19" max="19" width="39.140625" customWidth="1"/>
    <col min="23" max="23" width="15.5703125" hidden="1" customWidth="1"/>
    <col min="24" max="25" width="8.7109375" hidden="1" customWidth="1"/>
    <col min="26" max="26" width="6.85546875" hidden="1" customWidth="1"/>
  </cols>
  <sheetData>
    <row r="1" spans="1:27" ht="23.1" customHeight="1">
      <c r="A1" s="150" t="s">
        <v>0</v>
      </c>
      <c r="B1" s="207"/>
      <c r="C1" s="207"/>
      <c r="D1" s="207"/>
      <c r="E1" s="207"/>
      <c r="F1" s="207"/>
      <c r="G1" s="207"/>
      <c r="H1" s="207"/>
      <c r="I1" s="207"/>
      <c r="J1" s="207"/>
      <c r="K1" s="207"/>
      <c r="L1" s="207"/>
      <c r="M1" s="207"/>
      <c r="N1" s="207"/>
      <c r="O1" s="208"/>
      <c r="P1" s="62"/>
    </row>
    <row r="2" spans="1:27" ht="14.45" customHeight="1"/>
    <row r="3" spans="1:27" ht="14.45" customHeight="1">
      <c r="A3" s="166" t="s">
        <v>1</v>
      </c>
      <c r="B3" s="209"/>
      <c r="C3" s="172"/>
      <c r="D3" s="210"/>
      <c r="E3" s="210"/>
      <c r="F3" s="210"/>
      <c r="G3" s="209"/>
      <c r="H3" s="181" t="s">
        <v>2</v>
      </c>
      <c r="I3" s="209"/>
      <c r="J3" s="192"/>
      <c r="K3" s="210"/>
      <c r="L3" s="210"/>
      <c r="M3" s="210"/>
      <c r="N3" s="210"/>
      <c r="O3" s="211"/>
      <c r="P3" s="62"/>
    </row>
    <row r="4" spans="1:27" ht="14.45" customHeight="1">
      <c r="A4" s="148" t="s">
        <v>3</v>
      </c>
      <c r="B4" s="212"/>
      <c r="C4" s="158"/>
      <c r="D4" s="213"/>
      <c r="E4" s="213"/>
      <c r="F4" s="213"/>
      <c r="G4" s="212"/>
      <c r="H4" s="169" t="s">
        <v>4</v>
      </c>
      <c r="I4" s="212"/>
      <c r="J4" s="133"/>
      <c r="K4" s="213"/>
      <c r="L4" s="213"/>
      <c r="M4" s="213"/>
      <c r="N4" s="213"/>
      <c r="O4" s="214"/>
      <c r="P4" s="62"/>
    </row>
    <row r="5" spans="1:27" ht="14.45" customHeight="1">
      <c r="A5" s="148" t="s">
        <v>5</v>
      </c>
      <c r="B5" s="212"/>
      <c r="C5" s="173"/>
      <c r="D5" s="213"/>
      <c r="E5" s="213"/>
      <c r="F5" s="213"/>
      <c r="G5" s="212"/>
      <c r="H5" s="169" t="s">
        <v>6</v>
      </c>
      <c r="I5" s="212"/>
      <c r="J5" s="133"/>
      <c r="K5" s="213"/>
      <c r="L5" s="213"/>
      <c r="M5" s="213"/>
      <c r="N5" s="213"/>
      <c r="O5" s="214"/>
      <c r="P5" s="62"/>
    </row>
    <row r="6" spans="1:27" ht="14.45" customHeight="1">
      <c r="A6" s="148" t="s">
        <v>7</v>
      </c>
      <c r="B6" s="212"/>
      <c r="C6" s="173"/>
      <c r="D6" s="213"/>
      <c r="E6" s="213"/>
      <c r="F6" s="213"/>
      <c r="G6" s="212"/>
      <c r="H6" s="169" t="s">
        <v>8</v>
      </c>
      <c r="I6" s="212"/>
      <c r="J6" s="185"/>
      <c r="K6" s="213"/>
      <c r="L6" s="213"/>
      <c r="M6" s="213"/>
      <c r="N6" s="213"/>
      <c r="O6" s="214"/>
      <c r="P6" s="62"/>
    </row>
    <row r="7" spans="1:27" ht="15" customHeight="1">
      <c r="A7" s="159" t="s">
        <v>9</v>
      </c>
      <c r="B7" s="215"/>
      <c r="C7" s="132"/>
      <c r="D7" s="216"/>
      <c r="E7" s="216"/>
      <c r="F7" s="216"/>
      <c r="G7" s="215"/>
      <c r="H7" s="171" t="s">
        <v>10</v>
      </c>
      <c r="I7" s="215"/>
      <c r="J7" s="174"/>
      <c r="K7" s="216"/>
      <c r="L7" s="216"/>
      <c r="M7" s="216"/>
      <c r="N7" s="216"/>
      <c r="O7" s="217"/>
      <c r="P7" s="62"/>
    </row>
    <row r="8" spans="1:27" ht="14.45" customHeight="1"/>
    <row r="9" spans="1:27" ht="21" customHeight="1">
      <c r="E9" s="170" t="s">
        <v>11</v>
      </c>
      <c r="F9" s="218"/>
      <c r="G9" s="105" t="e">
        <f>AVERAGE(P12:P300)/25*100</f>
        <v>#DIV/0!</v>
      </c>
      <c r="K9" s="29"/>
      <c r="M9" s="72"/>
      <c r="P9" s="62"/>
    </row>
    <row r="10" spans="1:27" ht="14.45" customHeight="1">
      <c r="L10" s="29"/>
      <c r="M10" s="72"/>
      <c r="O10" s="31"/>
      <c r="Q10" s="68"/>
    </row>
    <row r="11" spans="1:27" s="1" customFormat="1" ht="14.45" customHeight="1">
      <c r="A11" s="58" t="s">
        <v>12</v>
      </c>
      <c r="B11" s="28" t="s">
        <v>13</v>
      </c>
      <c r="C11" s="28" t="s">
        <v>14</v>
      </c>
      <c r="D11" s="145" t="s">
        <v>15</v>
      </c>
      <c r="E11" s="207"/>
      <c r="F11" s="207"/>
      <c r="G11" s="207"/>
      <c r="H11" s="207"/>
      <c r="I11" s="207"/>
      <c r="J11" s="207"/>
      <c r="K11" s="218"/>
      <c r="L11" s="65" t="s">
        <v>16</v>
      </c>
      <c r="M11" s="84" t="s">
        <v>17</v>
      </c>
      <c r="N11" s="67" t="s">
        <v>18</v>
      </c>
      <c r="O11" s="66" t="s">
        <v>19</v>
      </c>
      <c r="P11" s="64" t="s">
        <v>20</v>
      </c>
      <c r="Q11" s="153" t="s">
        <v>21</v>
      </c>
      <c r="R11" s="207"/>
      <c r="S11" s="208"/>
      <c r="W11" s="6" t="s">
        <v>22</v>
      </c>
      <c r="X11" s="7"/>
      <c r="Y11" s="7"/>
      <c r="Z11" s="8"/>
    </row>
    <row r="12" spans="1:27" ht="14.45" customHeight="1">
      <c r="A12" s="167">
        <v>1</v>
      </c>
      <c r="B12" s="178" t="s">
        <v>23</v>
      </c>
      <c r="C12" s="178" t="s">
        <v>24</v>
      </c>
      <c r="D12" s="157" t="s">
        <v>25</v>
      </c>
      <c r="E12" s="219"/>
      <c r="F12" s="219"/>
      <c r="G12" s="219"/>
      <c r="H12" s="219"/>
      <c r="I12" s="219"/>
      <c r="J12" s="219"/>
      <c r="K12" s="220"/>
      <c r="L12" s="46"/>
      <c r="M12" s="83">
        <v>5</v>
      </c>
      <c r="N12" s="47" t="str">
        <f>IF(L12="NA","",
IF(L12="Yes",5,
IF(L12="Partial",4,
IF(L12="In Progress",3,
IF(L12="Not clarified",2,
IF(L12="No",0,""))))))</f>
        <v/>
      </c>
      <c r="O12" s="47" t="str">
        <f>IF(N12="","",N12*M12)</f>
        <v/>
      </c>
      <c r="P12" s="155" t="str">
        <f>IFERROR(AVERAGE(O12:O22),"")</f>
        <v/>
      </c>
      <c r="Q12" s="221"/>
      <c r="R12" s="210"/>
      <c r="S12" s="209"/>
      <c r="W12" s="9" t="s">
        <v>26</v>
      </c>
      <c r="X12" s="2">
        <f>COUNTIF(L12:L300,"No")</f>
        <v>0</v>
      </c>
      <c r="Y12" s="2"/>
      <c r="Z12" s="10"/>
    </row>
    <row r="13" spans="1:27" ht="14.45" customHeight="1">
      <c r="A13" s="222"/>
      <c r="B13" s="222"/>
      <c r="C13" s="222"/>
      <c r="D13" s="122" t="s">
        <v>27</v>
      </c>
      <c r="E13" s="213"/>
      <c r="F13" s="213"/>
      <c r="G13" s="213"/>
      <c r="H13" s="213"/>
      <c r="I13" s="213"/>
      <c r="J13" s="213"/>
      <c r="K13" s="212"/>
      <c r="L13" s="46"/>
      <c r="M13" s="83">
        <v>5</v>
      </c>
      <c r="N13" s="47" t="str">
        <f>IF(L13="NA","",
IF(L13="Yes",5,
IF(L13="Partial",4,
IF(L13="In Progress",3,
IF(L13="Not clarified",2,
IF(L13="No",0,""))))))</f>
        <v/>
      </c>
      <c r="O13" s="47" t="str">
        <f>IF(N13="","",N13*M13)</f>
        <v/>
      </c>
      <c r="P13" s="223"/>
      <c r="Q13" s="165"/>
      <c r="R13" s="213"/>
      <c r="S13" s="212"/>
      <c r="W13" s="44"/>
      <c r="X13" s="15"/>
      <c r="Y13" s="45"/>
    </row>
    <row r="14" spans="1:27" ht="14.45" customHeight="1">
      <c r="A14" s="222"/>
      <c r="B14" s="222"/>
      <c r="C14" s="222"/>
      <c r="D14" s="122" t="s">
        <v>28</v>
      </c>
      <c r="E14" s="213"/>
      <c r="F14" s="213"/>
      <c r="G14" s="213"/>
      <c r="H14" s="213"/>
      <c r="I14" s="213"/>
      <c r="J14" s="213"/>
      <c r="K14" s="212"/>
      <c r="L14" s="46"/>
      <c r="M14" s="83">
        <v>4</v>
      </c>
      <c r="N14" s="47" t="str">
        <f>IF(L14="NA","",
IF(L14="Yes",5,
IF(L14="Partial",4,
IF(L14="In Progress",3,
IF(L14="Not clarified",2,
IF(L14="No",0,""))))))</f>
        <v/>
      </c>
      <c r="O14" s="47" t="str">
        <f>IF(N14="","",N14*M14)</f>
        <v/>
      </c>
      <c r="P14" s="223"/>
      <c r="Q14" s="224"/>
      <c r="R14" s="213"/>
      <c r="S14" s="212"/>
      <c r="V14" s="194"/>
      <c r="W14" s="225"/>
      <c r="X14" s="225"/>
      <c r="Y14" s="225"/>
      <c r="Z14" s="225"/>
      <c r="AA14" s="225"/>
    </row>
    <row r="15" spans="1:27" s="72" customFormat="1" ht="93.6" customHeight="1">
      <c r="A15" s="222"/>
      <c r="B15" s="222"/>
      <c r="C15" s="222"/>
      <c r="D15" s="136" t="s">
        <v>29</v>
      </c>
      <c r="E15" s="213"/>
      <c r="F15" s="213"/>
      <c r="G15" s="213"/>
      <c r="H15" s="213"/>
      <c r="I15" s="213"/>
      <c r="J15" s="213"/>
      <c r="K15" s="212"/>
      <c r="L15" s="46"/>
      <c r="M15" s="83">
        <v>5</v>
      </c>
      <c r="N15" s="47" t="str">
        <f>IF(L15="NA","",
IF(L15="Yes",5,
IF(L15="Partial",4,
IF(L15="In Progress",3,
IF(L15="Not clarified",2,
IF(L15="No",0,""))))))</f>
        <v/>
      </c>
      <c r="O15" s="47" t="str">
        <f>IF(N15="","",N15*M15)</f>
        <v/>
      </c>
      <c r="P15" s="223"/>
      <c r="Q15" s="126"/>
      <c r="R15" s="213"/>
      <c r="S15" s="212"/>
      <c r="W15" s="111" t="s">
        <v>30</v>
      </c>
      <c r="X15" s="46">
        <f>COUNTIF(L12:L300,"Yes")</f>
        <v>0</v>
      </c>
      <c r="Y15" s="46"/>
      <c r="Z15" s="112"/>
    </row>
    <row r="16" spans="1:27" s="72" customFormat="1" ht="53.25" customHeight="1">
      <c r="A16" s="222"/>
      <c r="B16" s="222"/>
      <c r="C16" s="222"/>
      <c r="D16" s="136" t="s">
        <v>31</v>
      </c>
      <c r="E16" s="213"/>
      <c r="F16" s="213"/>
      <c r="G16" s="213"/>
      <c r="H16" s="213"/>
      <c r="I16" s="213"/>
      <c r="J16" s="213"/>
      <c r="K16" s="212"/>
      <c r="L16" s="46"/>
      <c r="M16" s="83">
        <v>5</v>
      </c>
      <c r="N16" s="47" t="str">
        <f>IF(L16="NA","",
IF(L16="Yes",5,
IF(L16="Partial",4,
IF(L16="In Progress",3,
IF(L16="Not clarified",2,
IF(L16="No",0,""))))))</f>
        <v/>
      </c>
      <c r="O16" s="47" t="str">
        <f>IF(N16="","",N16*M16)</f>
        <v/>
      </c>
      <c r="P16" s="223"/>
      <c r="Q16" s="188"/>
      <c r="R16" s="213"/>
      <c r="S16" s="212"/>
      <c r="W16" s="73"/>
      <c r="X16" s="74"/>
      <c r="Y16" s="74"/>
      <c r="Z16" s="75"/>
    </row>
    <row r="17" spans="1:26" s="11" customFormat="1" ht="67.5" customHeight="1">
      <c r="A17" s="222"/>
      <c r="B17" s="222"/>
      <c r="C17" s="222"/>
      <c r="D17" s="162" t="s">
        <v>32</v>
      </c>
      <c r="E17" s="213"/>
      <c r="F17" s="213"/>
      <c r="G17" s="213"/>
      <c r="H17" s="213"/>
      <c r="I17" s="213"/>
      <c r="J17" s="213"/>
      <c r="K17" s="212"/>
      <c r="L17" s="113"/>
      <c r="M17" s="114">
        <v>4</v>
      </c>
      <c r="N17" s="115" t="str">
        <f>IF(L17="NA","",
IF(L17="Yes",5,
IF(L17="Partial",4,
IF(L17="In Progress",3,
IF(L17="Not clarified",2,
IF(L17="No",0,""))))))</f>
        <v/>
      </c>
      <c r="O17" s="115" t="str">
        <f>IF(N17="","",N17*M17)</f>
        <v/>
      </c>
      <c r="P17" s="223"/>
      <c r="Q17" s="126"/>
      <c r="R17" s="213"/>
      <c r="S17" s="212"/>
      <c r="W17" s="116" t="s">
        <v>33</v>
      </c>
      <c r="X17" s="117">
        <f>X12+W14+X15</f>
        <v>0</v>
      </c>
      <c r="Y17" s="117" t="s">
        <v>34</v>
      </c>
      <c r="Z17" s="118" t="e">
        <f>Y14/X17</f>
        <v>#DIV/0!</v>
      </c>
    </row>
    <row r="18" spans="1:26" s="72" customFormat="1" ht="69" customHeight="1">
      <c r="A18" s="222"/>
      <c r="B18" s="222"/>
      <c r="C18" s="222"/>
      <c r="D18" s="136" t="s">
        <v>35</v>
      </c>
      <c r="E18" s="213"/>
      <c r="F18" s="213"/>
      <c r="G18" s="213"/>
      <c r="H18" s="213"/>
      <c r="I18" s="213"/>
      <c r="J18" s="213"/>
      <c r="K18" s="212"/>
      <c r="L18" s="46"/>
      <c r="M18" s="83">
        <v>4</v>
      </c>
      <c r="N18" s="47" t="str">
        <f>IF(L18="NA","",
IF(L18="Yes",5,
IF(L18="Partial",4,
IF(L18="In Progress",3,
IF(L18="Not clarified",2,
IF(L18="No",0,""))))))</f>
        <v/>
      </c>
      <c r="O18" s="47" t="str">
        <f>IF(N18="","",N18*M18)</f>
        <v/>
      </c>
      <c r="P18" s="223"/>
      <c r="Q18" s="131"/>
      <c r="R18" s="213"/>
      <c r="S18" s="212"/>
    </row>
    <row r="19" spans="1:26" ht="45.95" customHeight="1">
      <c r="A19" s="222"/>
      <c r="B19" s="222"/>
      <c r="C19" s="222"/>
      <c r="D19" s="189" t="s">
        <v>36</v>
      </c>
      <c r="E19" s="213"/>
      <c r="F19" s="213"/>
      <c r="G19" s="213"/>
      <c r="H19" s="213"/>
      <c r="I19" s="213"/>
      <c r="J19" s="213"/>
      <c r="K19" s="212"/>
      <c r="L19" s="46"/>
      <c r="M19" s="83">
        <v>5</v>
      </c>
      <c r="N19" s="47" t="str">
        <f>IF(L19="NA","",
IF(L19="Yes",5,
IF(L19="Partial",4,
IF(L19="In Progress",3,
IF(L19="Not clarified",2,
IF(L19="No",0,""))))))</f>
        <v/>
      </c>
      <c r="O19" s="47" t="str">
        <f>IF(N19="","",N19*M19)</f>
        <v/>
      </c>
      <c r="P19" s="223"/>
      <c r="Q19" s="177"/>
      <c r="R19" s="213"/>
      <c r="S19" s="212"/>
    </row>
    <row r="20" spans="1:26" s="72" customFormat="1" ht="62.45" customHeight="1">
      <c r="A20" s="222"/>
      <c r="B20" s="222"/>
      <c r="C20" s="222"/>
      <c r="D20" s="162" t="s">
        <v>37</v>
      </c>
      <c r="E20" s="213"/>
      <c r="F20" s="213"/>
      <c r="G20" s="213"/>
      <c r="H20" s="213"/>
      <c r="I20" s="213"/>
      <c r="J20" s="213"/>
      <c r="K20" s="212"/>
      <c r="L20" s="46"/>
      <c r="M20" s="83">
        <v>3</v>
      </c>
      <c r="N20" s="47" t="str">
        <f>IF(L20="NA","",
IF(L20="Yes",5,
IF(L20="Partial",4,
IF(L20="In Progress",3,
IF(L20="Not clarified",2,
IF(L20="No",0,""))))))</f>
        <v/>
      </c>
      <c r="O20" s="47" t="str">
        <f>IF(N20="","",N20*M20)</f>
        <v/>
      </c>
      <c r="P20" s="223"/>
      <c r="Q20" s="134"/>
      <c r="R20" s="213"/>
      <c r="S20" s="212"/>
    </row>
    <row r="21" spans="1:26" ht="14.45" customHeight="1">
      <c r="A21" s="222"/>
      <c r="B21" s="222"/>
      <c r="C21" s="222"/>
      <c r="D21" s="135" t="s">
        <v>38</v>
      </c>
      <c r="E21" s="213"/>
      <c r="F21" s="213"/>
      <c r="G21" s="213"/>
      <c r="H21" s="213"/>
      <c r="I21" s="213"/>
      <c r="J21" s="213"/>
      <c r="K21" s="212"/>
      <c r="L21" s="46"/>
      <c r="M21" s="83">
        <v>2</v>
      </c>
      <c r="N21" s="47" t="str">
        <f>IF(L21="NA","",
IF(L21="Yes",5,
IF(L21="Partial",4,
IF(L21="In Progress",3,
IF(L21="Not clarified",2,
IF(L21="No",0,""))))))</f>
        <v/>
      </c>
      <c r="O21" s="47" t="str">
        <f>IF(N21="","",N21*M21)</f>
        <v/>
      </c>
      <c r="P21" s="223"/>
      <c r="Q21" s="212"/>
      <c r="R21" s="213"/>
      <c r="S21" s="212"/>
    </row>
    <row r="22" spans="1:26" s="72" customFormat="1" ht="66.599999999999994" customHeight="1">
      <c r="A22" s="222"/>
      <c r="B22" s="222"/>
      <c r="C22" s="226"/>
      <c r="D22" s="162" t="s">
        <v>39</v>
      </c>
      <c r="E22" s="213"/>
      <c r="F22" s="213"/>
      <c r="G22" s="213"/>
      <c r="H22" s="213"/>
      <c r="I22" s="213"/>
      <c r="J22" s="213"/>
      <c r="K22" s="212"/>
      <c r="L22" s="46"/>
      <c r="M22" s="83">
        <v>3</v>
      </c>
      <c r="N22" s="47" t="str">
        <f>IF(L22="NA","",
IF(L22="Yes",5,
IF(L22="Partial",4,
IF(L22="In Progress",3,
IF(L22="Not clarified",2,
IF(L22="No",0,""))))))</f>
        <v/>
      </c>
      <c r="O22" s="47" t="str">
        <f>IF(N22="","",N22*M22)</f>
        <v/>
      </c>
      <c r="P22" s="227"/>
      <c r="Q22" s="134"/>
      <c r="R22" s="213"/>
      <c r="S22" s="212"/>
    </row>
    <row r="23" spans="1:26" ht="14.45" customHeight="1">
      <c r="A23" s="222"/>
      <c r="B23" s="222"/>
      <c r="C23" s="4"/>
      <c r="D23" s="124"/>
      <c r="E23" s="213"/>
      <c r="F23" s="213"/>
      <c r="G23" s="213"/>
      <c r="H23" s="213"/>
      <c r="I23" s="213"/>
      <c r="J23" s="213"/>
      <c r="K23" s="212"/>
      <c r="L23" s="30"/>
      <c r="M23" s="47"/>
      <c r="N23" s="47" t="str">
        <f>IF(L23="NA","",
IF(L23="Yes",5,
IF(L23="Partial",4,
IF(L23="In Progress",3,
IF(L23="Not clarified",2,
IF(L23="No",0,""))))))</f>
        <v/>
      </c>
      <c r="O23" s="47" t="str">
        <f>IF(N23="","",N23*M23)</f>
        <v/>
      </c>
      <c r="P23" s="88"/>
      <c r="Q23" s="228"/>
      <c r="R23" s="213"/>
      <c r="S23" s="212"/>
    </row>
    <row r="24" spans="1:26" ht="14.45" customHeight="1">
      <c r="A24" s="222"/>
      <c r="B24" s="222"/>
      <c r="C24" s="129" t="s">
        <v>40</v>
      </c>
      <c r="D24" s="122" t="s">
        <v>41</v>
      </c>
      <c r="E24" s="213"/>
      <c r="F24" s="213"/>
      <c r="G24" s="213"/>
      <c r="H24" s="213"/>
      <c r="I24" s="213"/>
      <c r="J24" s="213"/>
      <c r="K24" s="212"/>
      <c r="L24" s="2"/>
      <c r="M24" s="83">
        <v>4</v>
      </c>
      <c r="N24" s="47" t="str">
        <f>IF(L24="NA","",
IF(L24="Yes",5,
IF(L24="Partial",4,
IF(L24="In Progress",3,
IF(L24="Not clarified",2,
IF(L24="No",0,""))))))</f>
        <v/>
      </c>
      <c r="O24" s="47" t="str">
        <f>IF(N24="","",N24*M24)</f>
        <v/>
      </c>
      <c r="P24" s="127" t="str">
        <f>IFERROR(AVERAGE(O24:O27),"")</f>
        <v/>
      </c>
      <c r="Q24" s="228"/>
      <c r="R24" s="213"/>
      <c r="S24" s="212"/>
    </row>
    <row r="25" spans="1:26" s="72" customFormat="1" ht="92.1" customHeight="1">
      <c r="A25" s="222"/>
      <c r="B25" s="222"/>
      <c r="C25" s="222"/>
      <c r="D25" s="128" t="s">
        <v>42</v>
      </c>
      <c r="E25" s="213"/>
      <c r="F25" s="213"/>
      <c r="G25" s="213"/>
      <c r="H25" s="213"/>
      <c r="I25" s="213"/>
      <c r="J25" s="213"/>
      <c r="K25" s="212"/>
      <c r="L25" s="104"/>
      <c r="M25" s="83">
        <v>4</v>
      </c>
      <c r="N25" s="47" t="str">
        <f>IF(L25="NA","",
IF(L25="Yes",5,
IF(L25="Partial",4,
IF(L25="In Progress",3,
IF(L25="Not clarified",2,
IF(L25="No",0,""))))))</f>
        <v/>
      </c>
      <c r="O25" s="47" t="str">
        <f>IF(N25="","",N25*M25)</f>
        <v/>
      </c>
      <c r="P25" s="223"/>
      <c r="Q25" s="131"/>
      <c r="R25" s="213"/>
      <c r="S25" s="212"/>
    </row>
    <row r="26" spans="1:26" ht="14.45" customHeight="1">
      <c r="A26" s="222"/>
      <c r="B26" s="222"/>
      <c r="C26" s="222"/>
      <c r="D26" s="122" t="s">
        <v>43</v>
      </c>
      <c r="E26" s="213"/>
      <c r="F26" s="213"/>
      <c r="G26" s="213"/>
      <c r="H26" s="213"/>
      <c r="I26" s="213"/>
      <c r="J26" s="213"/>
      <c r="K26" s="212"/>
      <c r="L26" s="104"/>
      <c r="M26" s="83">
        <v>5</v>
      </c>
      <c r="N26" s="47" t="str">
        <f>IF(L26="NA","",
IF(L26="Yes",5,
IF(L26="Partial",4,
IF(L26="In Progress",3,
IF(L26="Not clarified",2,
IF(L26="No",0,""))))))</f>
        <v/>
      </c>
      <c r="O26" s="47" t="str">
        <f>IF(N26="","",N26*M26)</f>
        <v/>
      </c>
      <c r="P26" s="223"/>
      <c r="Q26" s="228"/>
      <c r="R26" s="213"/>
      <c r="S26" s="212"/>
    </row>
    <row r="27" spans="1:26" s="72" customFormat="1" ht="53.1" customHeight="1">
      <c r="A27" s="222"/>
      <c r="B27" s="222"/>
      <c r="C27" s="226"/>
      <c r="D27" s="128" t="s">
        <v>44</v>
      </c>
      <c r="E27" s="213"/>
      <c r="F27" s="213"/>
      <c r="G27" s="213"/>
      <c r="H27" s="213"/>
      <c r="I27" s="213"/>
      <c r="J27" s="213"/>
      <c r="K27" s="212"/>
      <c r="L27" s="104"/>
      <c r="M27" s="83">
        <v>5</v>
      </c>
      <c r="N27" s="47" t="str">
        <f>IF(L27="NA","",
IF(L27="Yes",5,
IF(L27="Partial",4,
IF(L27="In Progress",3,
IF(L27="Not clarified",2,
IF(L27="No",0,""))))))</f>
        <v/>
      </c>
      <c r="O27" s="47" t="str">
        <f>IF(N27="","",N27*M27)</f>
        <v/>
      </c>
      <c r="P27" s="227"/>
      <c r="Q27" s="131"/>
      <c r="R27" s="213"/>
      <c r="S27" s="212"/>
    </row>
    <row r="28" spans="1:26" ht="14.45" customHeight="1">
      <c r="A28" s="222"/>
      <c r="B28" s="222"/>
      <c r="C28" s="4"/>
      <c r="D28" s="124"/>
      <c r="E28" s="213"/>
      <c r="F28" s="213"/>
      <c r="G28" s="213"/>
      <c r="H28" s="213"/>
      <c r="I28" s="213"/>
      <c r="J28" s="213"/>
      <c r="K28" s="212"/>
      <c r="L28" s="32"/>
      <c r="M28" s="47"/>
      <c r="N28" s="47" t="str">
        <f>IF(L28="NA","",
IF(L28="Yes",5,
IF(L28="Partial",4,
IF(L28="In Progress",3,
IF(L28="Not clarified",2,
IF(L28="No",0,""))))))</f>
        <v/>
      </c>
      <c r="O28" s="47" t="str">
        <f>IF(N28="","",N28*M28)</f>
        <v/>
      </c>
      <c r="P28" s="54"/>
      <c r="Q28" s="228"/>
      <c r="R28" s="213"/>
      <c r="S28" s="212"/>
    </row>
    <row r="29" spans="1:26" s="72" customFormat="1" ht="54.6" customHeight="1">
      <c r="A29" s="222"/>
      <c r="B29" s="222"/>
      <c r="C29" s="129" t="s">
        <v>45</v>
      </c>
      <c r="D29" s="128" t="s">
        <v>46</v>
      </c>
      <c r="E29" s="213"/>
      <c r="F29" s="213"/>
      <c r="G29" s="213"/>
      <c r="H29" s="213"/>
      <c r="I29" s="213"/>
      <c r="J29" s="213"/>
      <c r="K29" s="212"/>
      <c r="L29" s="104"/>
      <c r="M29" s="83">
        <v>5</v>
      </c>
      <c r="N29" s="47" t="str">
        <f>IF(L29="NA","",
IF(L29="Yes",5,
IF(L29="Partial",4,
IF(L29="In Progress",3,
IF(L29="Not clarified",2,
IF(L29="No",0,""))))))</f>
        <v/>
      </c>
      <c r="O29" s="47" t="str">
        <f>IF(N29="","",N29*M29)</f>
        <v/>
      </c>
      <c r="P29" s="127" t="str">
        <f>IFERROR(AVERAGE(O29:O36),"")</f>
        <v/>
      </c>
      <c r="Q29" s="142"/>
      <c r="R29" s="213"/>
      <c r="S29" s="212"/>
    </row>
    <row r="30" spans="1:26" s="72" customFormat="1" ht="50.1" customHeight="1">
      <c r="A30" s="222"/>
      <c r="B30" s="222"/>
      <c r="C30" s="222"/>
      <c r="D30" s="128" t="s">
        <v>47</v>
      </c>
      <c r="E30" s="213"/>
      <c r="F30" s="213"/>
      <c r="G30" s="213"/>
      <c r="H30" s="213"/>
      <c r="I30" s="213"/>
      <c r="J30" s="213"/>
      <c r="K30" s="212"/>
      <c r="L30" s="104"/>
      <c r="M30" s="83">
        <v>5</v>
      </c>
      <c r="N30" s="47" t="str">
        <f>IF(L30="NA","",
IF(L30="Yes",5,
IF(L30="Partial",4,
IF(L30="In Progress",3,
IF(L30="Not clarified",2,
IF(L30="No",0,""))))))</f>
        <v/>
      </c>
      <c r="O30" s="47" t="str">
        <f>IF(N30="","",N30*M30)</f>
        <v/>
      </c>
      <c r="P30" s="223"/>
      <c r="Q30" s="142"/>
      <c r="R30" s="213"/>
      <c r="S30" s="212"/>
    </row>
    <row r="31" spans="1:26" s="72" customFormat="1" ht="50.1" customHeight="1">
      <c r="A31" s="222"/>
      <c r="B31" s="222"/>
      <c r="C31" s="222"/>
      <c r="D31" s="128" t="s">
        <v>48</v>
      </c>
      <c r="E31" s="213"/>
      <c r="F31" s="213"/>
      <c r="G31" s="213"/>
      <c r="H31" s="213"/>
      <c r="I31" s="213"/>
      <c r="J31" s="213"/>
      <c r="K31" s="212"/>
      <c r="L31" s="104"/>
      <c r="M31" s="83">
        <v>5</v>
      </c>
      <c r="N31" s="47" t="str">
        <f>IF(L31="NA","",
IF(L31="Yes",5,
IF(L31="Partial",4,
IF(L31="In Progress",3,
IF(L31="Not clarified",2,
IF(L31="No",0,""))))))</f>
        <v/>
      </c>
      <c r="O31" s="47" t="str">
        <f>IF(N31="","",N31*M31)</f>
        <v/>
      </c>
      <c r="P31" s="223"/>
      <c r="Q31" s="142"/>
      <c r="R31" s="213"/>
      <c r="S31" s="212"/>
    </row>
    <row r="32" spans="1:26" s="72" customFormat="1" ht="61.5" customHeight="1">
      <c r="A32" s="222"/>
      <c r="B32" s="222"/>
      <c r="C32" s="222"/>
      <c r="D32" s="128" t="s">
        <v>49</v>
      </c>
      <c r="E32" s="213"/>
      <c r="F32" s="213"/>
      <c r="G32" s="213"/>
      <c r="H32" s="213"/>
      <c r="I32" s="213"/>
      <c r="J32" s="213"/>
      <c r="K32" s="212"/>
      <c r="L32" s="104"/>
      <c r="M32" s="83">
        <v>4</v>
      </c>
      <c r="N32" s="47" t="str">
        <f>IF(L32="NA","",
IF(L32="Yes",5,
IF(L32="Partial",4,
IF(L32="In Progress",3,
IF(L32="Not clarified",2,
IF(L32="No",0,""))))))</f>
        <v/>
      </c>
      <c r="O32" s="47" t="str">
        <f>IF(N32="","",N32*M32)</f>
        <v/>
      </c>
      <c r="P32" s="223"/>
      <c r="Q32" s="142"/>
      <c r="R32" s="213"/>
      <c r="S32" s="212"/>
    </row>
    <row r="33" spans="1:19" ht="14.45" customHeight="1">
      <c r="A33" s="222"/>
      <c r="B33" s="222"/>
      <c r="C33" s="222"/>
      <c r="D33" s="122" t="s">
        <v>50</v>
      </c>
      <c r="E33" s="213"/>
      <c r="F33" s="213"/>
      <c r="G33" s="213"/>
      <c r="H33" s="213"/>
      <c r="I33" s="213"/>
      <c r="J33" s="213"/>
      <c r="K33" s="212"/>
      <c r="L33" s="2"/>
      <c r="M33" s="83">
        <v>4</v>
      </c>
      <c r="N33" s="47" t="str">
        <f>IF(L33="NA","",
IF(L33="Yes",5,
IF(L33="Partial",4,
IF(L33="In Progress",3,
IF(L33="Not clarified",2,
IF(L33="No",0,""))))))</f>
        <v/>
      </c>
      <c r="O33" s="47" t="str">
        <f>IF(N33="","",N33*M33)</f>
        <v/>
      </c>
      <c r="P33" s="223"/>
      <c r="Q33" s="121"/>
      <c r="R33" s="213"/>
      <c r="S33" s="212"/>
    </row>
    <row r="34" spans="1:19" s="72" customFormat="1" ht="48.95" customHeight="1">
      <c r="A34" s="222"/>
      <c r="B34" s="222"/>
      <c r="C34" s="222"/>
      <c r="D34" s="162" t="s">
        <v>51</v>
      </c>
      <c r="E34" s="213"/>
      <c r="F34" s="213"/>
      <c r="G34" s="213"/>
      <c r="H34" s="213"/>
      <c r="I34" s="213"/>
      <c r="J34" s="213"/>
      <c r="K34" s="212"/>
      <c r="L34" s="104"/>
      <c r="M34" s="83">
        <v>2</v>
      </c>
      <c r="N34" s="47" t="str">
        <f>IF(L34="NA","",
IF(L34="Yes",5,
IF(L34="Partial",4,
IF(L34="In Progress",3,
IF(L34="Not clarified",2,
IF(L34="No",0,""))))))</f>
        <v/>
      </c>
      <c r="O34" s="47" t="str">
        <f>IF(N34="","",N34*M34)</f>
        <v/>
      </c>
      <c r="P34" s="223"/>
      <c r="Q34" s="142"/>
      <c r="R34" s="213"/>
      <c r="S34" s="212"/>
    </row>
    <row r="35" spans="1:19" ht="14.45" customHeight="1">
      <c r="A35" s="222"/>
      <c r="B35" s="222"/>
      <c r="C35" s="222"/>
      <c r="D35" s="135" t="s">
        <v>52</v>
      </c>
      <c r="E35" s="213"/>
      <c r="F35" s="213"/>
      <c r="G35" s="213"/>
      <c r="H35" s="213"/>
      <c r="I35" s="213"/>
      <c r="J35" s="213"/>
      <c r="K35" s="212"/>
      <c r="L35" s="104"/>
      <c r="M35" s="83">
        <v>3</v>
      </c>
      <c r="N35" s="47" t="str">
        <f>IF(L35="NA","",
IF(L35="Yes",5,
IF(L35="Partial",4,
IF(L35="In Progress",3,
IF(L35="Not clarified",2,
IF(L35="No",0,""))))))</f>
        <v/>
      </c>
      <c r="O35" s="47" t="str">
        <f>IF(N35="","",N35*M35)</f>
        <v/>
      </c>
      <c r="P35" s="223"/>
      <c r="Q35" s="125"/>
      <c r="R35" s="229"/>
      <c r="S35" s="230"/>
    </row>
    <row r="36" spans="1:19" ht="38.1" customHeight="1">
      <c r="A36" s="222"/>
      <c r="B36" s="222"/>
      <c r="C36" s="226"/>
      <c r="D36" s="123" t="s">
        <v>53</v>
      </c>
      <c r="E36" s="213"/>
      <c r="F36" s="213"/>
      <c r="G36" s="213"/>
      <c r="H36" s="213"/>
      <c r="I36" s="213"/>
      <c r="J36" s="213"/>
      <c r="K36" s="212"/>
      <c r="L36" s="104"/>
      <c r="M36" s="83">
        <v>4</v>
      </c>
      <c r="N36" s="47" t="str">
        <f>IF(L36="NA","",
IF(L36="Yes",5,
IF(L36="Partial",4,
IF(L36="In Progress",3,
IF(L36="Not clarified",2,
IF(L36="No",0,""))))))</f>
        <v/>
      </c>
      <c r="O36" s="47" t="str">
        <f>IF(N36="","",N36*M36)</f>
        <v/>
      </c>
      <c r="P36" s="227"/>
      <c r="Q36" s="231"/>
      <c r="R36" s="219"/>
      <c r="S36" s="220"/>
    </row>
    <row r="37" spans="1:19" s="19" customFormat="1" ht="14.45" customHeight="1">
      <c r="A37" s="222"/>
      <c r="B37" s="222"/>
      <c r="C37" s="23"/>
      <c r="D37" s="156"/>
      <c r="E37" s="213"/>
      <c r="F37" s="213"/>
      <c r="G37" s="213"/>
      <c r="H37" s="213"/>
      <c r="I37" s="213"/>
      <c r="J37" s="213"/>
      <c r="K37" s="212"/>
      <c r="L37" s="2"/>
      <c r="M37" s="47"/>
      <c r="N37" s="47" t="str">
        <f>IF(L37="NA","",
IF(L37="Yes",5,
IF(L37="Partial",4,
IF(L37="In Progress",3,
IF(L37="Not clarified",2,
IF(L37="No",0,""))))))</f>
        <v/>
      </c>
      <c r="O37" s="47" t="str">
        <f>IF(N37="","",N37*M37)</f>
        <v/>
      </c>
      <c r="P37" s="63"/>
      <c r="Q37" s="232"/>
      <c r="R37" s="213"/>
      <c r="S37" s="212"/>
    </row>
    <row r="38" spans="1:19" s="72" customFormat="1" ht="36.950000000000003" customHeight="1">
      <c r="A38" s="222"/>
      <c r="B38" s="222"/>
      <c r="C38" s="129" t="s">
        <v>54</v>
      </c>
      <c r="D38" s="128" t="s">
        <v>55</v>
      </c>
      <c r="E38" s="213"/>
      <c r="F38" s="213"/>
      <c r="G38" s="213"/>
      <c r="H38" s="213"/>
      <c r="I38" s="213"/>
      <c r="J38" s="213"/>
      <c r="K38" s="212"/>
      <c r="L38" s="104"/>
      <c r="M38" s="83">
        <v>5</v>
      </c>
      <c r="N38" s="47" t="str">
        <f>IF(L38="NA","",
IF(L38="Yes",5,
IF(L38="Partial",4,
IF(L38="In Progress",3,
IF(L38="Not clarified",2,
IF(L38="No",0,""))))))</f>
        <v/>
      </c>
      <c r="O38" s="47" t="str">
        <f>IF(N38="","",N38*M38)</f>
        <v/>
      </c>
      <c r="P38" s="127" t="str">
        <f>IFERROR(AVERAGE(O38:O46),"")</f>
        <v/>
      </c>
      <c r="Q38" s="131"/>
      <c r="R38" s="213"/>
      <c r="S38" s="212"/>
    </row>
    <row r="39" spans="1:19" s="72" customFormat="1" ht="54.95" customHeight="1">
      <c r="A39" s="222"/>
      <c r="B39" s="222"/>
      <c r="C39" s="222"/>
      <c r="D39" s="128" t="s">
        <v>56</v>
      </c>
      <c r="E39" s="213"/>
      <c r="F39" s="213"/>
      <c r="G39" s="213"/>
      <c r="H39" s="213"/>
      <c r="I39" s="213"/>
      <c r="J39" s="213"/>
      <c r="K39" s="212"/>
      <c r="L39" s="104"/>
      <c r="M39" s="83">
        <v>5</v>
      </c>
      <c r="N39" s="47" t="str">
        <f>IF(L39="NA","",
IF(L39="Yes",5,
IF(L39="Partial",4,
IF(L39="In Progress",3,
IF(L39="Not clarified",2,
IF(L39="No",0,""))))))</f>
        <v/>
      </c>
      <c r="O39" s="47" t="str">
        <f>IF(N39="","",N39*M39)</f>
        <v/>
      </c>
      <c r="P39" s="223"/>
      <c r="Q39" s="131"/>
      <c r="R39" s="213"/>
      <c r="S39" s="212"/>
    </row>
    <row r="40" spans="1:19" ht="14.45" customHeight="1">
      <c r="A40" s="222"/>
      <c r="B40" s="222"/>
      <c r="C40" s="222"/>
      <c r="D40" s="122" t="s">
        <v>57</v>
      </c>
      <c r="E40" s="213"/>
      <c r="F40" s="213"/>
      <c r="G40" s="213"/>
      <c r="H40" s="213"/>
      <c r="I40" s="213"/>
      <c r="J40" s="213"/>
      <c r="K40" s="212"/>
      <c r="L40" s="2"/>
      <c r="M40" s="83">
        <v>3</v>
      </c>
      <c r="N40" s="47" t="str">
        <f>IF(L40="NA","",
IF(L40="Yes",5,
IF(L40="Partial",4,
IF(L40="In Progress",3,
IF(L40="Not clarified",2,
IF(L40="No",0,""))))))</f>
        <v/>
      </c>
      <c r="O40" s="47" t="str">
        <f>IF(N40="","",N40*M40)</f>
        <v/>
      </c>
      <c r="P40" s="223"/>
      <c r="Q40" s="121"/>
      <c r="R40" s="213"/>
      <c r="S40" s="212"/>
    </row>
    <row r="41" spans="1:19" s="72" customFormat="1" ht="45.6" customHeight="1">
      <c r="A41" s="222"/>
      <c r="B41" s="222"/>
      <c r="C41" s="222"/>
      <c r="D41" s="128" t="s">
        <v>58</v>
      </c>
      <c r="E41" s="213"/>
      <c r="F41" s="213"/>
      <c r="G41" s="213"/>
      <c r="H41" s="213"/>
      <c r="I41" s="213"/>
      <c r="J41" s="213"/>
      <c r="K41" s="212"/>
      <c r="L41" s="104"/>
      <c r="M41" s="83">
        <v>5</v>
      </c>
      <c r="N41" s="47" t="str">
        <f>IF(L41="NA","",
IF(L41="Yes",5,
IF(L41="Partial",4,
IF(L41="In Progress",3,
IF(L41="Not clarified",2,
IF(L41="No",0,""))))))</f>
        <v/>
      </c>
      <c r="O41" s="47" t="str">
        <f>IF(N41="","",N41*M41)</f>
        <v/>
      </c>
      <c r="P41" s="223"/>
      <c r="Q41" s="131"/>
      <c r="R41" s="213"/>
      <c r="S41" s="212"/>
    </row>
    <row r="42" spans="1:19" s="72" customFormat="1" ht="48" customHeight="1">
      <c r="A42" s="222"/>
      <c r="B42" s="222"/>
      <c r="C42" s="222"/>
      <c r="D42" s="128" t="s">
        <v>59</v>
      </c>
      <c r="E42" s="213"/>
      <c r="F42" s="213"/>
      <c r="G42" s="213"/>
      <c r="H42" s="213"/>
      <c r="I42" s="213"/>
      <c r="J42" s="213"/>
      <c r="K42" s="212"/>
      <c r="L42" s="104"/>
      <c r="M42" s="83">
        <v>5</v>
      </c>
      <c r="N42" s="47" t="str">
        <f>IF(L42="NA","",
IF(L42="Yes",5,
IF(L42="Partial",4,
IF(L42="In Progress",3,
IF(L42="Not clarified",2,
IF(L42="No",0,""))))))</f>
        <v/>
      </c>
      <c r="O42" s="47" t="str">
        <f>IF(N42="","",N42*M42)</f>
        <v/>
      </c>
      <c r="P42" s="223"/>
      <c r="Q42" s="131"/>
      <c r="R42" s="213"/>
      <c r="S42" s="212"/>
    </row>
    <row r="43" spans="1:19" s="72" customFormat="1" ht="41.45" customHeight="1">
      <c r="A43" s="222"/>
      <c r="B43" s="222"/>
      <c r="C43" s="222"/>
      <c r="D43" s="128" t="s">
        <v>60</v>
      </c>
      <c r="E43" s="213"/>
      <c r="F43" s="213"/>
      <c r="G43" s="213"/>
      <c r="H43" s="213"/>
      <c r="I43" s="213"/>
      <c r="J43" s="213"/>
      <c r="K43" s="212"/>
      <c r="L43" s="104"/>
      <c r="M43" s="83">
        <v>3</v>
      </c>
      <c r="N43" s="47" t="str">
        <f>IF(L43="NA","",
IF(L43="Yes",5,
IF(L43="Partial",4,
IF(L43="In Progress",3,
IF(L43="Not clarified",2,
IF(L43="No",0,""))))))</f>
        <v/>
      </c>
      <c r="O43" s="47" t="str">
        <f>IF(N43="","",N43*M43)</f>
        <v/>
      </c>
      <c r="P43" s="223"/>
      <c r="Q43" s="142"/>
      <c r="R43" s="213"/>
      <c r="S43" s="212"/>
    </row>
    <row r="44" spans="1:19" ht="14.45" customHeight="1">
      <c r="A44" s="222"/>
      <c r="B44" s="222"/>
      <c r="C44" s="222"/>
      <c r="D44" s="122" t="s">
        <v>61</v>
      </c>
      <c r="E44" s="213"/>
      <c r="F44" s="213"/>
      <c r="G44" s="213"/>
      <c r="H44" s="213"/>
      <c r="I44" s="213"/>
      <c r="J44" s="213"/>
      <c r="K44" s="212"/>
      <c r="L44" s="2"/>
      <c r="M44" s="83">
        <v>2</v>
      </c>
      <c r="N44" s="47" t="str">
        <f>IF(L44="NA","",
IF(L44="Yes",5,
IF(L44="Partial",4,
IF(L44="In Progress",3,
IF(L44="Not clarified",2,
IF(L44="No",0,""))))))</f>
        <v/>
      </c>
      <c r="O44" s="47" t="str">
        <f>IF(N44="","",N44*M44)</f>
        <v/>
      </c>
      <c r="P44" s="223"/>
      <c r="Q44" s="228"/>
      <c r="R44" s="213"/>
      <c r="S44" s="212"/>
    </row>
    <row r="45" spans="1:19" ht="14.45" customHeight="1">
      <c r="A45" s="222"/>
      <c r="B45" s="222"/>
      <c r="C45" s="222"/>
      <c r="D45" s="157" t="s">
        <v>62</v>
      </c>
      <c r="E45" s="219"/>
      <c r="F45" s="219"/>
      <c r="G45" s="219"/>
      <c r="H45" s="219"/>
      <c r="I45" s="219"/>
      <c r="J45" s="219"/>
      <c r="K45" s="220"/>
      <c r="L45" s="2"/>
      <c r="M45" s="83">
        <v>3</v>
      </c>
      <c r="N45" s="47" t="str">
        <f>IF(L45="NA","",
IF(L45="Yes",5,
IF(L45="Partial",4,
IF(L45="In Progress",3,
IF(L45="Not clarified",2,
IF(L45="No",0,""))))))</f>
        <v/>
      </c>
      <c r="O45" s="47" t="str">
        <f>IF(N45="","",N45*M45)</f>
        <v/>
      </c>
      <c r="P45" s="223"/>
      <c r="Q45" s="228"/>
      <c r="R45" s="213"/>
      <c r="S45" s="212"/>
    </row>
    <row r="46" spans="1:19" ht="14.45" customHeight="1">
      <c r="A46" s="222"/>
      <c r="B46" s="222"/>
      <c r="C46" s="226"/>
      <c r="D46" s="122" t="s">
        <v>63</v>
      </c>
      <c r="E46" s="213"/>
      <c r="F46" s="213"/>
      <c r="G46" s="213"/>
      <c r="H46" s="213"/>
      <c r="I46" s="213"/>
      <c r="J46" s="213"/>
      <c r="K46" s="212"/>
      <c r="L46" s="2"/>
      <c r="M46" s="83">
        <v>3</v>
      </c>
      <c r="N46" s="47" t="str">
        <f>IF(L46="NA","",
IF(L46="Yes",5,
IF(L46="Partial",4,
IF(L46="In Progress",3,
IF(L46="Not clarified",2,
IF(L46="No",0,""))))))</f>
        <v/>
      </c>
      <c r="O46" s="47" t="str">
        <f>IF(N46="","",N46*M46)</f>
        <v/>
      </c>
      <c r="P46" s="227"/>
      <c r="Q46" s="228"/>
      <c r="R46" s="213"/>
      <c r="S46" s="212"/>
    </row>
    <row r="47" spans="1:19" ht="14.45" customHeight="1">
      <c r="A47" s="222"/>
      <c r="B47" s="222"/>
      <c r="C47" s="20"/>
      <c r="D47" s="124"/>
      <c r="E47" s="213"/>
      <c r="F47" s="213"/>
      <c r="G47" s="213"/>
      <c r="H47" s="213"/>
      <c r="I47" s="213"/>
      <c r="J47" s="213"/>
      <c r="K47" s="212"/>
      <c r="L47" s="2"/>
      <c r="M47" s="47"/>
      <c r="N47" s="47" t="str">
        <f>IF(L47="NA","",
IF(L47="Yes",5,
IF(L47="Partial",4,
IF(L47="In Progress",3,
IF(L47="Not clarified",2,
IF(L47="No",0,""))))))</f>
        <v/>
      </c>
      <c r="O47" s="47" t="str">
        <f>IF(N47="","",N47*M47)</f>
        <v/>
      </c>
      <c r="P47" s="87"/>
      <c r="Q47" s="228"/>
      <c r="R47" s="213"/>
      <c r="S47" s="212"/>
    </row>
    <row r="48" spans="1:19" ht="14.45" customHeight="1">
      <c r="A48" s="222"/>
      <c r="B48" s="222"/>
      <c r="C48" s="129" t="s">
        <v>64</v>
      </c>
      <c r="D48" s="123" t="s">
        <v>65</v>
      </c>
      <c r="E48" s="213"/>
      <c r="F48" s="213"/>
      <c r="G48" s="213"/>
      <c r="H48" s="213"/>
      <c r="I48" s="213"/>
      <c r="J48" s="213"/>
      <c r="K48" s="212"/>
      <c r="L48" s="2"/>
      <c r="M48" s="83">
        <v>5</v>
      </c>
      <c r="N48" s="47" t="str">
        <f>IF(L48="NA","",
IF(L48="Yes",5,
IF(L48="Partial",4,
IF(L48="In Progress",3,
IF(L48="Not clarified",2,
IF(L48="No",0,""))))))</f>
        <v/>
      </c>
      <c r="O48" s="47" t="str">
        <f>IF(N48="","",N48*M48)</f>
        <v/>
      </c>
      <c r="P48" s="127" t="str">
        <f>IFERROR(AVERAGE(O48:O54),"")</f>
        <v/>
      </c>
      <c r="Q48" s="212"/>
      <c r="R48" s="213"/>
      <c r="S48" s="212"/>
    </row>
    <row r="49" spans="1:19" s="72" customFormat="1" ht="42.95" customHeight="1">
      <c r="A49" s="222"/>
      <c r="B49" s="222"/>
      <c r="C49" s="222"/>
      <c r="D49" s="136" t="s">
        <v>66</v>
      </c>
      <c r="E49" s="213"/>
      <c r="F49" s="213"/>
      <c r="G49" s="213"/>
      <c r="H49" s="213"/>
      <c r="I49" s="213"/>
      <c r="J49" s="213"/>
      <c r="K49" s="212"/>
      <c r="L49" s="104"/>
      <c r="M49" s="83">
        <v>5</v>
      </c>
      <c r="N49" s="47" t="str">
        <f>IF(L49="NA","",
IF(L49="Yes",5,
IF(L49="Partial",4,
IF(L49="In Progress",3,
IF(L49="Not clarified",2,
IF(L49="No",0,""))))))</f>
        <v/>
      </c>
      <c r="O49" s="47" t="str">
        <f>IF(N49="","",N49*M49)</f>
        <v/>
      </c>
      <c r="P49" s="223"/>
      <c r="Q49" s="134"/>
      <c r="R49" s="213"/>
      <c r="S49" s="212"/>
    </row>
    <row r="50" spans="1:19" ht="14.45" customHeight="1">
      <c r="A50" s="222"/>
      <c r="B50" s="222"/>
      <c r="C50" s="222"/>
      <c r="D50" s="123" t="s">
        <v>67</v>
      </c>
      <c r="E50" s="213"/>
      <c r="F50" s="213"/>
      <c r="G50" s="213"/>
      <c r="H50" s="213"/>
      <c r="I50" s="213"/>
      <c r="J50" s="213"/>
      <c r="K50" s="212"/>
      <c r="L50" s="2"/>
      <c r="M50" s="83">
        <v>3</v>
      </c>
      <c r="N50" s="47" t="str">
        <f>IF(L50="NA","",
IF(L50="Yes",5,
IF(L50="Partial",4,
IF(L50="In Progress",3,
IF(L50="Not clarified",2,
IF(L50="No",0,""))))))</f>
        <v/>
      </c>
      <c r="O50" s="47" t="str">
        <f>IF(N50="","",N50*M50)</f>
        <v/>
      </c>
      <c r="P50" s="223"/>
      <c r="Q50" s="212"/>
      <c r="R50" s="213"/>
      <c r="S50" s="212"/>
    </row>
    <row r="51" spans="1:19" ht="14.45" customHeight="1">
      <c r="A51" s="222"/>
      <c r="B51" s="222"/>
      <c r="C51" s="222"/>
      <c r="D51" s="123" t="s">
        <v>68</v>
      </c>
      <c r="E51" s="213"/>
      <c r="F51" s="213"/>
      <c r="G51" s="213"/>
      <c r="H51" s="213"/>
      <c r="I51" s="213"/>
      <c r="J51" s="213"/>
      <c r="K51" s="212"/>
      <c r="L51" s="2"/>
      <c r="M51" s="83">
        <v>2</v>
      </c>
      <c r="N51" s="47" t="str">
        <f>IF(L51="NA","",
IF(L51="Yes",5,
IF(L51="Partial",4,
IF(L51="In Progress",3,
IF(L51="Not clarified",2,
IF(L51="No",0,""))))))</f>
        <v/>
      </c>
      <c r="O51" s="47" t="str">
        <f>IF(N51="","",N51*M51)</f>
        <v/>
      </c>
      <c r="P51" s="223"/>
      <c r="Q51" s="212"/>
      <c r="R51" s="213"/>
      <c r="S51" s="212"/>
    </row>
    <row r="52" spans="1:19" ht="14.45" customHeight="1">
      <c r="A52" s="222"/>
      <c r="B52" s="222"/>
      <c r="C52" s="222"/>
      <c r="D52" s="123" t="s">
        <v>69</v>
      </c>
      <c r="E52" s="213"/>
      <c r="F52" s="213"/>
      <c r="G52" s="213"/>
      <c r="H52" s="213"/>
      <c r="I52" s="213"/>
      <c r="J52" s="213"/>
      <c r="K52" s="212"/>
      <c r="L52" s="2"/>
      <c r="M52" s="83">
        <v>5</v>
      </c>
      <c r="N52" s="47" t="str">
        <f>IF(L52="NA","",
IF(L52="Yes",5,
IF(L52="Partial",4,
IF(L52="In Progress",3,
IF(L52="Not clarified",2,
IF(L52="No",0,""))))))</f>
        <v/>
      </c>
      <c r="O52" s="47" t="str">
        <f>IF(N52="","",N52*M52)</f>
        <v/>
      </c>
      <c r="P52" s="223"/>
      <c r="Q52" s="212"/>
      <c r="R52" s="213"/>
      <c r="S52" s="212"/>
    </row>
    <row r="53" spans="1:19" s="72" customFormat="1" ht="55.5" customHeight="1">
      <c r="A53" s="222"/>
      <c r="B53" s="222"/>
      <c r="C53" s="222"/>
      <c r="D53" s="108" t="s">
        <v>70</v>
      </c>
      <c r="E53" s="109"/>
      <c r="F53" s="109"/>
      <c r="G53" s="109"/>
      <c r="H53" s="109"/>
      <c r="I53" s="109"/>
      <c r="J53" s="109"/>
      <c r="K53" s="110"/>
      <c r="L53" s="104"/>
      <c r="M53" s="83">
        <v>4</v>
      </c>
      <c r="N53" s="47" t="str">
        <f>IF(L53="NA","",
IF(L53="Yes",5,
IF(L53="Partial",4,
IF(L53="In Progress",3,
IF(L53="Not clarified",2,
IF(L53="No",0,""))))))</f>
        <v/>
      </c>
      <c r="O53" s="47" t="str">
        <f>IF(N53="","",N53*M53)</f>
        <v/>
      </c>
      <c r="P53" s="223"/>
      <c r="Q53" s="142"/>
      <c r="R53" s="213"/>
      <c r="S53" s="212"/>
    </row>
    <row r="54" spans="1:19" ht="14.45" customHeight="1">
      <c r="A54" s="226"/>
      <c r="B54" s="226"/>
      <c r="C54" s="226"/>
      <c r="D54" s="135" t="s">
        <v>71</v>
      </c>
      <c r="E54" s="213"/>
      <c r="F54" s="213"/>
      <c r="G54" s="213"/>
      <c r="H54" s="213"/>
      <c r="I54" s="213"/>
      <c r="J54" s="213"/>
      <c r="K54" s="212"/>
      <c r="L54" s="2"/>
      <c r="M54" s="83">
        <v>3</v>
      </c>
      <c r="N54" s="47" t="str">
        <f>IF(L54="NA","",
IF(L54="Yes",5,
IF(L54="Partial",4,
IF(L54="In Progress",3,
IF(L54="Not clarified",2,
IF(L54="No",0,""))))))</f>
        <v/>
      </c>
      <c r="O54" s="47" t="str">
        <f>IF(N54="","",N54*M54)</f>
        <v/>
      </c>
      <c r="P54" s="227"/>
      <c r="Q54" s="212"/>
      <c r="R54" s="213"/>
      <c r="S54" s="212"/>
    </row>
    <row r="55" spans="1:19" ht="14.45" customHeight="1">
      <c r="A55" s="59"/>
      <c r="B55" s="13"/>
      <c r="C55" s="27"/>
      <c r="D55" s="122"/>
      <c r="E55" s="213"/>
      <c r="F55" s="213"/>
      <c r="G55" s="213"/>
      <c r="H55" s="213"/>
      <c r="I55" s="213"/>
      <c r="J55" s="213"/>
      <c r="K55" s="212"/>
      <c r="L55" s="2"/>
      <c r="M55" s="47"/>
      <c r="N55" s="47"/>
      <c r="O55" s="47"/>
      <c r="P55" s="88"/>
      <c r="Q55" s="228"/>
      <c r="R55" s="213"/>
      <c r="S55" s="212"/>
    </row>
    <row r="56" spans="1:19" ht="34.5" customHeight="1">
      <c r="A56" s="130">
        <v>2</v>
      </c>
      <c r="B56" s="129" t="s">
        <v>72</v>
      </c>
      <c r="C56" s="129" t="s">
        <v>73</v>
      </c>
      <c r="D56" s="136" t="s">
        <v>74</v>
      </c>
      <c r="E56" s="213"/>
      <c r="F56" s="213"/>
      <c r="G56" s="213"/>
      <c r="H56" s="213"/>
      <c r="I56" s="213"/>
      <c r="J56" s="213"/>
      <c r="K56" s="212"/>
      <c r="L56" s="104"/>
      <c r="M56" s="83">
        <v>5</v>
      </c>
      <c r="N56" s="47" t="str">
        <f>IF(L56="NA","",
IF(L56="Yes",5,
IF(L56="Partial",4,
IF(L56="In Progress",3,
IF(L56="Not clarified",2,
IF(L56="No",0,""))))))</f>
        <v/>
      </c>
      <c r="O56" s="47" t="str">
        <f>IF(N56="","",N56*M56)</f>
        <v/>
      </c>
      <c r="P56" s="127" t="str">
        <f>IFERROR(AVERAGE(O56:O58),"")</f>
        <v/>
      </c>
      <c r="Q56" s="205"/>
      <c r="R56" s="233"/>
      <c r="S56" s="234"/>
    </row>
    <row r="57" spans="1:19" ht="45" customHeight="1">
      <c r="A57" s="222"/>
      <c r="B57" s="222"/>
      <c r="C57" s="222"/>
      <c r="D57" s="136" t="s">
        <v>75</v>
      </c>
      <c r="E57" s="213"/>
      <c r="F57" s="213"/>
      <c r="G57" s="213"/>
      <c r="H57" s="213"/>
      <c r="I57" s="213"/>
      <c r="J57" s="213"/>
      <c r="K57" s="212"/>
      <c r="L57" s="104"/>
      <c r="M57" s="83">
        <v>5</v>
      </c>
      <c r="N57" s="47" t="str">
        <f>IF(L57="NA","",
IF(L57="Yes",5,
IF(L57="Partial",4,
IF(L57="In Progress",3,
IF(L57="Not clarified",2,
IF(L57="No",0,""))))))</f>
        <v/>
      </c>
      <c r="O57" s="47" t="str">
        <f>IF(N57="","",N57*M57)</f>
        <v/>
      </c>
      <c r="P57" s="223"/>
      <c r="Q57" s="131"/>
      <c r="R57" s="213"/>
      <c r="S57" s="212"/>
    </row>
    <row r="58" spans="1:19" ht="31.5" customHeight="1">
      <c r="A58" s="226"/>
      <c r="B58" s="226"/>
      <c r="C58" s="226"/>
      <c r="D58" s="162" t="s">
        <v>76</v>
      </c>
      <c r="E58" s="213"/>
      <c r="F58" s="213"/>
      <c r="G58" s="213"/>
      <c r="H58" s="213"/>
      <c r="I58" s="213"/>
      <c r="J58" s="213"/>
      <c r="K58" s="212"/>
      <c r="L58" s="104"/>
      <c r="M58" s="83">
        <v>4</v>
      </c>
      <c r="N58" s="47" t="str">
        <f>IF(L58="NA","",
IF(L58="Yes",5,
IF(L58="Partial",4,
IF(L58="In Progress",3,
IF(L58="Not clarified",2,
IF(L58="No",0,""))))))</f>
        <v/>
      </c>
      <c r="O58" s="47" t="str">
        <f>IF(N58="","",N58*M58)</f>
        <v/>
      </c>
      <c r="P58" s="227"/>
      <c r="Q58" s="149"/>
      <c r="R58" s="213"/>
      <c r="S58" s="212"/>
    </row>
    <row r="59" spans="1:19" ht="14.45" customHeight="1">
      <c r="A59" s="59"/>
      <c r="B59" s="4"/>
      <c r="C59" s="20"/>
      <c r="D59" s="122"/>
      <c r="E59" s="213"/>
      <c r="F59" s="213"/>
      <c r="G59" s="213"/>
      <c r="H59" s="213"/>
      <c r="I59" s="213"/>
      <c r="J59" s="213"/>
      <c r="K59" s="212"/>
      <c r="L59" s="2"/>
      <c r="M59" s="47"/>
      <c r="N59" s="47" t="str">
        <f>IF(L59="NA","",
IF(L59="Yes",5,
IF(L59="Partial",4,
IF(L59="In Progress",3,
IF(L59="Not clarified",2,
IF(L59="No",0,""))))))</f>
        <v/>
      </c>
      <c r="O59" s="47" t="str">
        <f>IF(N59="","",N59*M59)</f>
        <v/>
      </c>
      <c r="P59" s="54"/>
      <c r="Q59" s="228"/>
      <c r="R59" s="213"/>
      <c r="S59" s="212"/>
    </row>
    <row r="60" spans="1:19" s="72" customFormat="1" ht="45.6" customHeight="1">
      <c r="A60" s="130">
        <v>3</v>
      </c>
      <c r="B60" s="129" t="s">
        <v>77</v>
      </c>
      <c r="C60" s="130" t="s">
        <v>78</v>
      </c>
      <c r="D60" s="128" t="s">
        <v>79</v>
      </c>
      <c r="E60" s="213"/>
      <c r="F60" s="213"/>
      <c r="G60" s="213"/>
      <c r="H60" s="213"/>
      <c r="I60" s="213"/>
      <c r="J60" s="213"/>
      <c r="K60" s="212"/>
      <c r="L60" s="104"/>
      <c r="M60" s="83">
        <v>5</v>
      </c>
      <c r="N60" s="47" t="str">
        <f>IF(L60="NA","",
IF(L60="Yes",5,
IF(L60="Partial",4,
IF(L60="In Progress",3,
IF(L60="Not clarified",2,
IF(L60="No",0,""))))))</f>
        <v/>
      </c>
      <c r="O60" s="47" t="str">
        <f>IF(N60="","",N60*M60)</f>
        <v/>
      </c>
      <c r="P60" s="127" t="str">
        <f>IFERROR(AVERAGE(O60:O69),"")</f>
        <v/>
      </c>
      <c r="Q60" s="125"/>
      <c r="R60" s="229"/>
      <c r="S60" s="230"/>
    </row>
    <row r="61" spans="1:19" ht="14.45" customHeight="1">
      <c r="A61" s="222"/>
      <c r="B61" s="222"/>
      <c r="C61" s="222"/>
      <c r="D61" s="122" t="s">
        <v>80</v>
      </c>
      <c r="E61" s="213"/>
      <c r="F61" s="213"/>
      <c r="G61" s="213"/>
      <c r="H61" s="213"/>
      <c r="I61" s="213"/>
      <c r="J61" s="213"/>
      <c r="K61" s="212"/>
      <c r="L61" s="2"/>
      <c r="M61" s="83">
        <v>5</v>
      </c>
      <c r="N61" s="47" t="str">
        <f>IF(L61="NA","",
IF(L61="Yes",5,
IF(L61="Partial",4,
IF(L61="In Progress",3,
IF(L61="Not clarified",2,
IF(L61="No",0,""))))))</f>
        <v/>
      </c>
      <c r="O61" s="47" t="str">
        <f>IF(N61="","",N61*M61)</f>
        <v/>
      </c>
      <c r="P61" s="223"/>
      <c r="Q61" s="231"/>
      <c r="R61" s="219"/>
      <c r="S61" s="220"/>
    </row>
    <row r="62" spans="1:19" ht="14.45" customHeight="1">
      <c r="A62" s="222"/>
      <c r="B62" s="222"/>
      <c r="C62" s="222"/>
      <c r="D62" s="123" t="s">
        <v>81</v>
      </c>
      <c r="E62" s="213"/>
      <c r="F62" s="213"/>
      <c r="G62" s="213"/>
      <c r="H62" s="213"/>
      <c r="I62" s="213"/>
      <c r="J62" s="213"/>
      <c r="K62" s="212"/>
      <c r="L62" s="2"/>
      <c r="M62" s="83">
        <v>4</v>
      </c>
      <c r="N62" s="47" t="str">
        <f>IF(L62="NA","",
IF(L62="Yes",5,
IF(L62="Partial",4,
IF(L62="In Progress",3,
IF(L62="Not clarified",2,
IF(L62="No",0,""))))))</f>
        <v/>
      </c>
      <c r="O62" s="47" t="str">
        <f>IF(N62="","",N62*M62)</f>
        <v/>
      </c>
      <c r="P62" s="223"/>
      <c r="Q62" s="141"/>
      <c r="R62" s="213"/>
      <c r="S62" s="212"/>
    </row>
    <row r="63" spans="1:19" ht="14.45" customHeight="1">
      <c r="A63" s="222"/>
      <c r="B63" s="222"/>
      <c r="C63" s="222"/>
      <c r="D63" s="123" t="s">
        <v>82</v>
      </c>
      <c r="E63" s="213"/>
      <c r="F63" s="213"/>
      <c r="G63" s="213"/>
      <c r="H63" s="213"/>
      <c r="I63" s="213"/>
      <c r="J63" s="213"/>
      <c r="K63" s="212"/>
      <c r="L63" s="2"/>
      <c r="M63" s="83">
        <v>5</v>
      </c>
      <c r="N63" s="47" t="str">
        <f>IF(L63="NA","",
IF(L63="Yes",5,
IF(L63="Partial",4,
IF(L63="In Progress",3,
IF(L63="Not clarified",2,
IF(L63="No",0,""))))))</f>
        <v/>
      </c>
      <c r="O63" s="47" t="str">
        <f>IF(N63="","",N63*M63)</f>
        <v/>
      </c>
      <c r="P63" s="223"/>
      <c r="Q63" s="228"/>
      <c r="R63" s="213"/>
      <c r="S63" s="212"/>
    </row>
    <row r="64" spans="1:19" s="72" customFormat="1" ht="42.6" customHeight="1">
      <c r="A64" s="222"/>
      <c r="B64" s="222"/>
      <c r="C64" s="222"/>
      <c r="D64" s="136" t="s">
        <v>83</v>
      </c>
      <c r="E64" s="213"/>
      <c r="F64" s="213"/>
      <c r="G64" s="213"/>
      <c r="H64" s="213"/>
      <c r="I64" s="213"/>
      <c r="J64" s="213"/>
      <c r="K64" s="212"/>
      <c r="L64" s="104"/>
      <c r="M64" s="83">
        <v>4</v>
      </c>
      <c r="N64" s="47" t="str">
        <f>IF(L64="NA","",
IF(L64="Yes",5,
IF(L64="Partial",4,
IF(L64="In Progress",3,
IF(L64="Not clarified",2,
IF(L64="No",0,""))))))</f>
        <v/>
      </c>
      <c r="O64" s="47" t="str">
        <f>IF(N64="","",N64*M64)</f>
        <v/>
      </c>
      <c r="P64" s="223"/>
      <c r="Q64" s="131"/>
      <c r="R64" s="213"/>
      <c r="S64" s="212"/>
    </row>
    <row r="65" spans="1:19" ht="14.45" customHeight="1">
      <c r="A65" s="222"/>
      <c r="B65" s="222"/>
      <c r="C65" s="222"/>
      <c r="D65" s="41" t="s">
        <v>84</v>
      </c>
      <c r="E65" s="42"/>
      <c r="F65" s="42"/>
      <c r="G65" s="42"/>
      <c r="H65" s="42"/>
      <c r="I65" s="42"/>
      <c r="J65" s="42"/>
      <c r="K65" s="43"/>
      <c r="L65" s="2"/>
      <c r="M65" s="83">
        <v>3</v>
      </c>
      <c r="N65" s="47" t="str">
        <f>IF(L65="NA","",
IF(L65="Yes",5,
IF(L65="Partial",4,
IF(L65="In Progress",3,
IF(L65="Not clarified",2,
IF(L65="No",0,""))))))</f>
        <v/>
      </c>
      <c r="O65" s="47" t="str">
        <f>IF(N65="","",N65*M65)</f>
        <v/>
      </c>
      <c r="P65" s="223"/>
      <c r="Q65" s="141"/>
      <c r="R65" s="213"/>
      <c r="S65" s="212"/>
    </row>
    <row r="66" spans="1:19" s="72" customFormat="1" ht="33" customHeight="1">
      <c r="A66" s="222"/>
      <c r="B66" s="222"/>
      <c r="C66" s="222"/>
      <c r="D66" s="193" t="s">
        <v>85</v>
      </c>
      <c r="E66" s="213"/>
      <c r="F66" s="213"/>
      <c r="G66" s="213"/>
      <c r="H66" s="213"/>
      <c r="I66" s="213"/>
      <c r="J66" s="213"/>
      <c r="K66" s="212"/>
      <c r="L66" s="104"/>
      <c r="M66" s="83">
        <v>5</v>
      </c>
      <c r="N66" s="47" t="str">
        <f>IF(L66="NA","",
IF(L66="Yes",5,
IF(L66="Partial",4,
IF(L66="In Progress",3,
IF(L66="Not clarified",2,
IF(L66="No",0,""))))))</f>
        <v/>
      </c>
      <c r="O66" s="47" t="str">
        <f>IF(N66="","",N66*M66)</f>
        <v/>
      </c>
      <c r="P66" s="223"/>
      <c r="Q66" s="131"/>
      <c r="R66" s="213"/>
      <c r="S66" s="212"/>
    </row>
    <row r="67" spans="1:19" ht="14.45" customHeight="1">
      <c r="A67" s="222"/>
      <c r="B67" s="222"/>
      <c r="C67" s="222"/>
      <c r="D67" s="123" t="s">
        <v>86</v>
      </c>
      <c r="E67" s="213"/>
      <c r="F67" s="213"/>
      <c r="G67" s="213"/>
      <c r="H67" s="213"/>
      <c r="I67" s="213"/>
      <c r="J67" s="213"/>
      <c r="K67" s="212"/>
      <c r="L67" s="2"/>
      <c r="M67" s="83">
        <v>5</v>
      </c>
      <c r="N67" s="47" t="str">
        <f>IF(L67="NA","",
IF(L67="Yes",5,
IF(L67="Partial",4,
IF(L67="In Progress",3,
IF(L67="Not clarified",2,
IF(L67="No",0,""))))))</f>
        <v/>
      </c>
      <c r="O67" s="47" t="str">
        <f>IF(N67="","",N67*M67)</f>
        <v/>
      </c>
      <c r="P67" s="223"/>
      <c r="Q67" s="141"/>
      <c r="R67" s="213"/>
      <c r="S67" s="212"/>
    </row>
    <row r="68" spans="1:19" ht="14.45" customHeight="1">
      <c r="A68" s="222"/>
      <c r="B68" s="222"/>
      <c r="C68" s="222"/>
      <c r="D68" s="123" t="s">
        <v>87</v>
      </c>
      <c r="E68" s="213"/>
      <c r="F68" s="213"/>
      <c r="G68" s="213"/>
      <c r="H68" s="213"/>
      <c r="I68" s="213"/>
      <c r="J68" s="213"/>
      <c r="K68" s="212"/>
      <c r="L68" s="2"/>
      <c r="M68" s="83">
        <v>5</v>
      </c>
      <c r="N68" s="47" t="str">
        <f>IF(L68="NA","",
IF(L68="Yes",5,
IF(L68="Partial",4,
IF(L68="In Progress",3,
IF(L68="Not clarified",2,
IF(L68="No",0,""))))))</f>
        <v/>
      </c>
      <c r="O68" s="47" t="str">
        <f>IF(N68="","",N68*M68)</f>
        <v/>
      </c>
      <c r="P68" s="223"/>
      <c r="Q68" s="141"/>
      <c r="R68" s="213"/>
      <c r="S68" s="212"/>
    </row>
    <row r="69" spans="1:19" ht="14.45" customHeight="1">
      <c r="A69" s="226"/>
      <c r="B69" s="226"/>
      <c r="C69" s="226"/>
      <c r="D69" s="122" t="s">
        <v>88</v>
      </c>
      <c r="E69" s="213"/>
      <c r="F69" s="213"/>
      <c r="G69" s="213"/>
      <c r="H69" s="213"/>
      <c r="I69" s="213"/>
      <c r="J69" s="213"/>
      <c r="K69" s="212"/>
      <c r="L69" s="2"/>
      <c r="M69" s="83">
        <v>3</v>
      </c>
      <c r="N69" s="47" t="str">
        <f>IF(L69="NA","",
IF(L69="Yes",5,
IF(L69="Partial",4,
IF(L69="In Progress",3,
IF(L69="Not clarified",2,
IF(L69="No",0,""))))))</f>
        <v/>
      </c>
      <c r="O69" s="47" t="str">
        <f>IF(N69="","",N69*M69)</f>
        <v/>
      </c>
      <c r="P69" s="227"/>
      <c r="Q69" s="141"/>
      <c r="R69" s="213"/>
      <c r="S69" s="212"/>
    </row>
    <row r="70" spans="1:19" ht="14.45" customHeight="1">
      <c r="A70" s="59"/>
      <c r="B70" s="4"/>
      <c r="C70" s="4"/>
      <c r="D70" s="179"/>
      <c r="E70" s="213"/>
      <c r="F70" s="213"/>
      <c r="G70" s="213"/>
      <c r="H70" s="213"/>
      <c r="I70" s="213"/>
      <c r="J70" s="213"/>
      <c r="K70" s="212"/>
      <c r="L70" s="2"/>
      <c r="M70" s="47"/>
      <c r="N70" s="47" t="str">
        <f>IF(L70="NA","",
IF(L70="Yes",5,
IF(L70="Partial",4,
IF(L70="In Progress",3,
IF(L70="Not clarified",2,
IF(L70="No",0,""))))))</f>
        <v/>
      </c>
      <c r="O70" s="47" t="str">
        <f>IF(N70="","",N70*M70)</f>
        <v/>
      </c>
      <c r="P70" s="54"/>
      <c r="Q70" s="141"/>
      <c r="R70" s="213"/>
      <c r="S70" s="212"/>
    </row>
    <row r="71" spans="1:19" ht="14.45" customHeight="1">
      <c r="A71" s="130">
        <v>4</v>
      </c>
      <c r="B71" s="129" t="s">
        <v>89</v>
      </c>
      <c r="C71" s="129" t="s">
        <v>90</v>
      </c>
      <c r="D71" s="122" t="s">
        <v>91</v>
      </c>
      <c r="E71" s="213"/>
      <c r="F71" s="213"/>
      <c r="G71" s="213"/>
      <c r="H71" s="213"/>
      <c r="I71" s="213"/>
      <c r="J71" s="213"/>
      <c r="K71" s="212"/>
      <c r="L71" s="2"/>
      <c r="M71" s="83">
        <v>5</v>
      </c>
      <c r="N71" s="47" t="str">
        <f>IF(L71="NA","",
IF(L71="Yes",5,
IF(L71="Partial",4,
IF(L71="In Progress",3,
IF(L71="Not clarified",2,
IF(L71="No",0,""))))))</f>
        <v/>
      </c>
      <c r="O71" s="47" t="str">
        <f>IF(N71="","",N71*M71)</f>
        <v/>
      </c>
      <c r="P71" s="127" t="str">
        <f>IFERROR(AVERAGE(O71:O83),"")</f>
        <v/>
      </c>
      <c r="Q71" s="142"/>
      <c r="R71" s="229"/>
      <c r="S71" s="230"/>
    </row>
    <row r="72" spans="1:19" ht="14.45" customHeight="1">
      <c r="A72" s="222"/>
      <c r="B72" s="222"/>
      <c r="C72" s="222"/>
      <c r="D72" s="122" t="s">
        <v>92</v>
      </c>
      <c r="E72" s="213"/>
      <c r="F72" s="213"/>
      <c r="G72" s="213"/>
      <c r="H72" s="213"/>
      <c r="I72" s="213"/>
      <c r="J72" s="213"/>
      <c r="K72" s="212"/>
      <c r="L72" s="2"/>
      <c r="M72" s="83">
        <v>5</v>
      </c>
      <c r="N72" s="47" t="str">
        <f>IF(L72="NA","",
IF(L72="Yes",5,
IF(L72="Partial",4,
IF(L72="In Progress",3,
IF(L72="Not clarified",2,
IF(L72="No",0,""))))))</f>
        <v/>
      </c>
      <c r="O72" s="47" t="str">
        <f>IF(N72="","",N72*M72)</f>
        <v/>
      </c>
      <c r="P72" s="223"/>
      <c r="Q72" s="235"/>
      <c r="R72" s="225"/>
      <c r="S72" s="236"/>
    </row>
    <row r="73" spans="1:19" ht="14.45" customHeight="1">
      <c r="A73" s="222"/>
      <c r="B73" s="222"/>
      <c r="C73" s="222"/>
      <c r="D73" s="182" t="s">
        <v>93</v>
      </c>
      <c r="E73" s="213"/>
      <c r="F73" s="213"/>
      <c r="G73" s="213"/>
      <c r="H73" s="213"/>
      <c r="I73" s="213"/>
      <c r="J73" s="213"/>
      <c r="K73" s="212"/>
      <c r="L73" s="2"/>
      <c r="M73" s="83">
        <v>5</v>
      </c>
      <c r="N73" s="47" t="str">
        <f>IF(L73="NA","",
IF(L73="Yes",5,
IF(L73="Partial",4,
IF(L73="In Progress",3,
IF(L73="Not clarified",2,
IF(L73="No",0,""))))))</f>
        <v/>
      </c>
      <c r="O73" s="47" t="str">
        <f>IF(N73="","",N73*M73)</f>
        <v/>
      </c>
      <c r="P73" s="223"/>
      <c r="Q73" s="235"/>
      <c r="R73" s="225"/>
      <c r="S73" s="236"/>
    </row>
    <row r="74" spans="1:19" ht="14.45" customHeight="1">
      <c r="A74" s="222"/>
      <c r="B74" s="222"/>
      <c r="C74" s="222"/>
      <c r="D74" s="123" t="s">
        <v>94</v>
      </c>
      <c r="E74" s="213"/>
      <c r="F74" s="213"/>
      <c r="G74" s="213"/>
      <c r="H74" s="213"/>
      <c r="I74" s="213"/>
      <c r="J74" s="213"/>
      <c r="K74" s="212"/>
      <c r="L74" s="2"/>
      <c r="M74" s="83">
        <v>5</v>
      </c>
      <c r="N74" s="47" t="str">
        <f>IF(L74="NA","",
IF(L74="Yes",5,
IF(L74="Partial",4,
IF(L74="In Progress",3,
IF(L74="Not clarified",2,
IF(L74="No",0,""))))))</f>
        <v/>
      </c>
      <c r="O74" s="47" t="str">
        <f>IF(N74="","",N74*M74)</f>
        <v/>
      </c>
      <c r="P74" s="223"/>
      <c r="Q74" s="235"/>
      <c r="R74" s="225"/>
      <c r="S74" s="236"/>
    </row>
    <row r="75" spans="1:19" ht="14.45" customHeight="1">
      <c r="A75" s="222"/>
      <c r="B75" s="222"/>
      <c r="C75" s="222"/>
      <c r="D75" s="122" t="s">
        <v>95</v>
      </c>
      <c r="E75" s="213"/>
      <c r="F75" s="213"/>
      <c r="G75" s="213"/>
      <c r="H75" s="213"/>
      <c r="I75" s="213"/>
      <c r="J75" s="213"/>
      <c r="K75" s="212"/>
      <c r="L75" s="2"/>
      <c r="M75" s="83">
        <v>5</v>
      </c>
      <c r="N75" s="47" t="str">
        <f>IF(L75="NA","",
IF(L75="Yes",5,
IF(L75="Partial",4,
IF(L75="In Progress",3,
IF(L75="Not clarified",2,
IF(L75="No",0,""))))))</f>
        <v/>
      </c>
      <c r="O75" s="47" t="str">
        <f>IF(N75="","",N75*M75)</f>
        <v/>
      </c>
      <c r="P75" s="223"/>
      <c r="Q75" s="235"/>
      <c r="R75" s="225"/>
      <c r="S75" s="236"/>
    </row>
    <row r="76" spans="1:19" ht="14.45" customHeight="1">
      <c r="A76" s="222"/>
      <c r="B76" s="222"/>
      <c r="C76" s="222"/>
      <c r="D76" s="122" t="s">
        <v>96</v>
      </c>
      <c r="E76" s="213"/>
      <c r="F76" s="213"/>
      <c r="G76" s="213"/>
      <c r="H76" s="213"/>
      <c r="I76" s="213"/>
      <c r="J76" s="213"/>
      <c r="K76" s="212"/>
      <c r="L76" s="2"/>
      <c r="M76" s="83">
        <v>5</v>
      </c>
      <c r="N76" s="47" t="str">
        <f>IF(L76="NA","",
IF(L76="Yes",5,
IF(L76="Partial",4,
IF(L76="In Progress",3,
IF(L76="Not clarified",2,
IF(L76="No",0,""))))))</f>
        <v/>
      </c>
      <c r="O76" s="47" t="str">
        <f>IF(N76="","",N76*M76)</f>
        <v/>
      </c>
      <c r="P76" s="223"/>
      <c r="Q76" s="235"/>
      <c r="R76" s="225"/>
      <c r="S76" s="236"/>
    </row>
    <row r="77" spans="1:19" ht="14.45" customHeight="1">
      <c r="A77" s="222"/>
      <c r="B77" s="222"/>
      <c r="C77" s="222"/>
      <c r="D77" s="122" t="s">
        <v>97</v>
      </c>
      <c r="E77" s="213"/>
      <c r="F77" s="213"/>
      <c r="G77" s="213"/>
      <c r="H77" s="213"/>
      <c r="I77" s="213"/>
      <c r="J77" s="213"/>
      <c r="K77" s="212"/>
      <c r="L77" s="2"/>
      <c r="M77" s="83">
        <v>5</v>
      </c>
      <c r="N77" s="47" t="str">
        <f>IF(L77="NA","",
IF(L77="Yes",5,
IF(L77="Partial",4,
IF(L77="In Progress",3,
IF(L77="Not clarified",2,
IF(L77="No",0,""))))))</f>
        <v/>
      </c>
      <c r="O77" s="47" t="str">
        <f>IF(N77="","",N77*M77)</f>
        <v/>
      </c>
      <c r="P77" s="223"/>
      <c r="Q77" s="235"/>
      <c r="R77" s="225"/>
      <c r="S77" s="236"/>
    </row>
    <row r="78" spans="1:19" ht="14.45" customHeight="1">
      <c r="A78" s="222"/>
      <c r="B78" s="222"/>
      <c r="C78" s="222"/>
      <c r="D78" s="122" t="s">
        <v>98</v>
      </c>
      <c r="E78" s="213"/>
      <c r="F78" s="213"/>
      <c r="G78" s="213"/>
      <c r="H78" s="213"/>
      <c r="I78" s="213"/>
      <c r="J78" s="213"/>
      <c r="K78" s="212"/>
      <c r="L78" s="2"/>
      <c r="M78" s="83">
        <v>4</v>
      </c>
      <c r="N78" s="47" t="str">
        <f>IF(L78="NA","",
IF(L78="Yes",5,
IF(L78="Partial",4,
IF(L78="In Progress",3,
IF(L78="Not clarified",2,
IF(L78="No",0,""))))))</f>
        <v/>
      </c>
      <c r="O78" s="47" t="str">
        <f>IF(N78="","",N78*M78)</f>
        <v/>
      </c>
      <c r="P78" s="223"/>
      <c r="Q78" s="235"/>
      <c r="R78" s="225"/>
      <c r="S78" s="236"/>
    </row>
    <row r="79" spans="1:19" ht="14.45" customHeight="1">
      <c r="A79" s="222"/>
      <c r="B79" s="222"/>
      <c r="C79" s="222"/>
      <c r="D79" s="123" t="s">
        <v>99</v>
      </c>
      <c r="E79" s="213"/>
      <c r="F79" s="213"/>
      <c r="G79" s="213"/>
      <c r="H79" s="213"/>
      <c r="I79" s="213"/>
      <c r="J79" s="213"/>
      <c r="K79" s="212"/>
      <c r="L79" s="2"/>
      <c r="M79" s="83">
        <v>4</v>
      </c>
      <c r="N79" s="47" t="str">
        <f>IF(L79="NA","",
IF(L79="Yes",5,
IF(L79="Partial",4,
IF(L79="In Progress",3,
IF(L79="Not clarified",2,
IF(L79="No",0,""))))))</f>
        <v/>
      </c>
      <c r="O79" s="47" t="str">
        <f>IF(N79="","",N79*M79)</f>
        <v/>
      </c>
      <c r="P79" s="223"/>
      <c r="Q79" s="235"/>
      <c r="R79" s="225"/>
      <c r="S79" s="236"/>
    </row>
    <row r="80" spans="1:19" ht="14.45" customHeight="1">
      <c r="A80" s="222"/>
      <c r="B80" s="222"/>
      <c r="C80" s="222"/>
      <c r="D80" s="122" t="s">
        <v>100</v>
      </c>
      <c r="E80" s="213"/>
      <c r="F80" s="213"/>
      <c r="G80" s="213"/>
      <c r="H80" s="213"/>
      <c r="I80" s="213"/>
      <c r="J80" s="213"/>
      <c r="K80" s="212"/>
      <c r="L80" s="2"/>
      <c r="M80" s="83">
        <v>5</v>
      </c>
      <c r="N80" s="47" t="str">
        <f>IF(L80="NA","",
IF(L80="Yes",5,
IF(L80="Partial",4,
IF(L80="In Progress",3,
IF(L80="Not clarified",2,
IF(L80="No",0,""))))))</f>
        <v/>
      </c>
      <c r="O80" s="47" t="str">
        <f>IF(N80="","",N80*M80)</f>
        <v/>
      </c>
      <c r="P80" s="223"/>
      <c r="Q80" s="235"/>
      <c r="R80" s="225"/>
      <c r="S80" s="236"/>
    </row>
    <row r="81" spans="1:19" ht="14.45" customHeight="1">
      <c r="A81" s="222"/>
      <c r="B81" s="222"/>
      <c r="C81" s="222"/>
      <c r="D81" s="122" t="s">
        <v>101</v>
      </c>
      <c r="E81" s="213"/>
      <c r="F81" s="213"/>
      <c r="G81" s="213"/>
      <c r="H81" s="213"/>
      <c r="I81" s="213"/>
      <c r="J81" s="213"/>
      <c r="K81" s="212"/>
      <c r="L81" s="2"/>
      <c r="M81" s="83">
        <v>4</v>
      </c>
      <c r="N81" s="47" t="str">
        <f>IF(L81="NA","",
IF(L81="Yes",5,
IF(L81="Partial",4,
IF(L81="In Progress",3,
IF(L81="Not clarified",2,
IF(L81="No",0,""))))))</f>
        <v/>
      </c>
      <c r="O81" s="47" t="str">
        <f>IF(N81="","",N81*M81)</f>
        <v/>
      </c>
      <c r="P81" s="223"/>
      <c r="Q81" s="235"/>
      <c r="R81" s="225"/>
      <c r="S81" s="236"/>
    </row>
    <row r="82" spans="1:19" ht="14.45" customHeight="1">
      <c r="A82" s="222"/>
      <c r="B82" s="222"/>
      <c r="C82" s="222"/>
      <c r="D82" s="140" t="s">
        <v>102</v>
      </c>
      <c r="E82" s="213"/>
      <c r="F82" s="213"/>
      <c r="G82" s="213"/>
      <c r="H82" s="213"/>
      <c r="I82" s="213"/>
      <c r="J82" s="213"/>
      <c r="K82" s="212"/>
      <c r="L82" s="2"/>
      <c r="M82" s="83">
        <v>2</v>
      </c>
      <c r="N82" s="47" t="str">
        <f>IF(L82="NA","",
IF(L82="Yes",5,
IF(L82="Partial",4,
IF(L82="In Progress",3,
IF(L82="Not clarified",2,
IF(L82="No",0,""))))))</f>
        <v/>
      </c>
      <c r="O82" s="47" t="str">
        <f>IF(N82="","",N82*M82)</f>
        <v/>
      </c>
      <c r="P82" s="223"/>
      <c r="Q82" s="235"/>
      <c r="R82" s="225"/>
      <c r="S82" s="236"/>
    </row>
    <row r="83" spans="1:19" ht="14.45" customHeight="1">
      <c r="A83" s="226"/>
      <c r="B83" s="226"/>
      <c r="C83" s="226"/>
      <c r="D83" s="140" t="s">
        <v>103</v>
      </c>
      <c r="E83" s="213"/>
      <c r="F83" s="213"/>
      <c r="G83" s="213"/>
      <c r="H83" s="213"/>
      <c r="I83" s="213"/>
      <c r="J83" s="213"/>
      <c r="K83" s="212"/>
      <c r="L83" s="2"/>
      <c r="M83" s="83">
        <v>3</v>
      </c>
      <c r="N83" s="47" t="str">
        <f>IF(L83="NA","",
IF(L83="Yes",5,
IF(L83="Partial",4,
IF(L83="In Progress",3,
IF(L83="Not clarified",2,
IF(L83="No",0,""))))))</f>
        <v/>
      </c>
      <c r="O83" s="47" t="str">
        <f>IF(N83="","",N83*M83)</f>
        <v/>
      </c>
      <c r="P83" s="227"/>
      <c r="Q83" s="231"/>
      <c r="R83" s="219"/>
      <c r="S83" s="220"/>
    </row>
    <row r="84" spans="1:19" ht="14.45" customHeight="1">
      <c r="A84" s="59">
        <v>88</v>
      </c>
      <c r="B84" s="4"/>
      <c r="C84" s="4"/>
      <c r="D84" s="122"/>
      <c r="E84" s="213"/>
      <c r="F84" s="213"/>
      <c r="G84" s="213"/>
      <c r="H84" s="213"/>
      <c r="I84" s="213"/>
      <c r="J84" s="213"/>
      <c r="K84" s="212"/>
      <c r="L84" s="2"/>
      <c r="M84" s="47"/>
      <c r="N84" s="47" t="str">
        <f>IF(L84="NA","",
IF(L84="Yes",5,
IF(L84="Partial",4,
IF(L84="In Progress",3,
IF(L84="Not clarified",2,
IF(L84="No",0,""))))))</f>
        <v/>
      </c>
      <c r="O84" s="47" t="str">
        <f>IF(N84="","",N84*M84)</f>
        <v/>
      </c>
      <c r="P84" s="54"/>
      <c r="Q84" s="228"/>
      <c r="R84" s="213"/>
      <c r="S84" s="212"/>
    </row>
    <row r="85" spans="1:19" ht="14.45" customHeight="1">
      <c r="A85" s="130">
        <v>5</v>
      </c>
      <c r="B85" s="129" t="s">
        <v>104</v>
      </c>
      <c r="C85" s="129" t="s">
        <v>104</v>
      </c>
      <c r="D85" s="122" t="s">
        <v>105</v>
      </c>
      <c r="E85" s="213"/>
      <c r="F85" s="213"/>
      <c r="G85" s="213"/>
      <c r="H85" s="213"/>
      <c r="I85" s="213"/>
      <c r="J85" s="213"/>
      <c r="K85" s="212"/>
      <c r="L85" s="2"/>
      <c r="M85" s="83">
        <v>5</v>
      </c>
      <c r="N85" s="47" t="str">
        <f>IF(L85="NA","",
IF(L85="Yes",5,
IF(L85="Partial",4,
IF(L85="In Progress",3,
IF(L85="Not clarified",2,
IF(L85="No",0,""))))))</f>
        <v/>
      </c>
      <c r="O85" s="47" t="str">
        <f>IF(N85="","",N85*M85)</f>
        <v/>
      </c>
      <c r="P85" s="127" t="str">
        <f>IFERROR(AVERAGE(O85:O93),"")</f>
        <v/>
      </c>
      <c r="Q85" s="228"/>
      <c r="R85" s="213"/>
      <c r="S85" s="212"/>
    </row>
    <row r="86" spans="1:19" ht="14.45" customHeight="1">
      <c r="A86" s="222"/>
      <c r="B86" s="222"/>
      <c r="C86" s="222"/>
      <c r="D86" s="122" t="s">
        <v>106</v>
      </c>
      <c r="E86" s="213"/>
      <c r="F86" s="213"/>
      <c r="G86" s="213"/>
      <c r="H86" s="213"/>
      <c r="I86" s="213"/>
      <c r="J86" s="213"/>
      <c r="K86" s="212"/>
      <c r="L86" s="2"/>
      <c r="M86" s="83">
        <v>5</v>
      </c>
      <c r="N86" s="47" t="str">
        <f>IF(L86="NA","",
IF(L86="Yes",5,
IF(L86="Partial",4,
IF(L86="In Progress",3,
IF(L86="Not clarified",2,
IF(L86="No",0,""))))))</f>
        <v/>
      </c>
      <c r="O86" s="47" t="str">
        <f>IF(N86="","",N86*M86)</f>
        <v/>
      </c>
      <c r="P86" s="223"/>
      <c r="Q86" s="228"/>
      <c r="R86" s="213"/>
      <c r="S86" s="212"/>
    </row>
    <row r="87" spans="1:19" s="72" customFormat="1" ht="47.1" customHeight="1">
      <c r="A87" s="222"/>
      <c r="B87" s="222"/>
      <c r="C87" s="222"/>
      <c r="D87" s="128" t="s">
        <v>107</v>
      </c>
      <c r="E87" s="213"/>
      <c r="F87" s="213"/>
      <c r="G87" s="213"/>
      <c r="H87" s="213"/>
      <c r="I87" s="213"/>
      <c r="J87" s="213"/>
      <c r="K87" s="212"/>
      <c r="L87" s="104"/>
      <c r="M87" s="83">
        <v>3</v>
      </c>
      <c r="N87" s="47" t="str">
        <f>IF(L87="NA","",
IF(L87="Yes",5,
IF(L87="Partial",4,
IF(L87="In Progress",3,
IF(L87="Not clarified",2,
IF(L87="No",0,""))))))</f>
        <v/>
      </c>
      <c r="O87" s="47" t="str">
        <f>IF(N87="","",N87*M87)</f>
        <v/>
      </c>
      <c r="P87" s="223"/>
      <c r="Q87" s="142"/>
      <c r="R87" s="213"/>
      <c r="S87" s="212"/>
    </row>
    <row r="88" spans="1:19" ht="30.95" customHeight="1">
      <c r="A88" s="222"/>
      <c r="B88" s="222"/>
      <c r="C88" s="222"/>
      <c r="D88" s="152" t="s">
        <v>108</v>
      </c>
      <c r="E88" s="213"/>
      <c r="F88" s="213"/>
      <c r="G88" s="213"/>
      <c r="H88" s="213"/>
      <c r="I88" s="213"/>
      <c r="J88" s="213"/>
      <c r="K88" s="212"/>
      <c r="L88" s="2"/>
      <c r="M88" s="83">
        <v>3</v>
      </c>
      <c r="N88" s="47" t="str">
        <f>IF(L88="NA","",
IF(L88="Yes",5,
IF(L88="Partial",4,
IF(L88="In Progress",3,
IF(L88="Not clarified",2,
IF(L88="No",0,""))))))</f>
        <v/>
      </c>
      <c r="O88" s="47" t="str">
        <f>IF(N88="","",N88*M88)</f>
        <v/>
      </c>
      <c r="P88" s="223"/>
      <c r="Q88" s="125"/>
      <c r="R88" s="213"/>
      <c r="S88" s="212"/>
    </row>
    <row r="89" spans="1:19" ht="14.45" customHeight="1">
      <c r="A89" s="222"/>
      <c r="B89" s="222"/>
      <c r="C89" s="222"/>
      <c r="D89" s="151" t="s">
        <v>109</v>
      </c>
      <c r="E89" s="213"/>
      <c r="F89" s="213"/>
      <c r="G89" s="213"/>
      <c r="H89" s="213"/>
      <c r="I89" s="213"/>
      <c r="J89" s="213"/>
      <c r="K89" s="212"/>
      <c r="L89" s="2"/>
      <c r="M89" s="83">
        <v>5</v>
      </c>
      <c r="N89" s="47" t="str">
        <f>IF(L89="NA","",
IF(L89="Yes",5,
IF(L89="Partial",4,
IF(L89="In Progress",3,
IF(L89="Not clarified",2,
IF(L89="No",0,""))))))</f>
        <v/>
      </c>
      <c r="O89" s="47" t="str">
        <f>IF(N89="","",N89*M89)</f>
        <v/>
      </c>
      <c r="P89" s="223"/>
      <c r="Q89" s="121"/>
      <c r="R89" s="213"/>
      <c r="S89" s="212"/>
    </row>
    <row r="90" spans="1:19" ht="14.45" customHeight="1">
      <c r="A90" s="222"/>
      <c r="B90" s="222"/>
      <c r="C90" s="222"/>
      <c r="D90" s="151" t="s">
        <v>110</v>
      </c>
      <c r="E90" s="213"/>
      <c r="F90" s="213"/>
      <c r="G90" s="213"/>
      <c r="H90" s="213"/>
      <c r="I90" s="213"/>
      <c r="J90" s="213"/>
      <c r="K90" s="212"/>
      <c r="L90" s="2"/>
      <c r="M90" s="83">
        <v>5</v>
      </c>
      <c r="N90" s="47" t="str">
        <f>IF(L90="NA","",
IF(L90="Yes",5,
IF(L90="Partial",4,
IF(L90="In Progress",3,
IF(L90="Not clarified",2,
IF(L90="No",0,""))))))</f>
        <v/>
      </c>
      <c r="O90" s="47" t="str">
        <f>IF(N90="","",N90*M90)</f>
        <v/>
      </c>
      <c r="P90" s="223"/>
      <c r="Q90" s="121"/>
      <c r="R90" s="213"/>
      <c r="S90" s="212"/>
    </row>
    <row r="91" spans="1:19" ht="14.45" customHeight="1">
      <c r="A91" s="222"/>
      <c r="B91" s="222"/>
      <c r="C91" s="222"/>
      <c r="D91" s="151" t="s">
        <v>111</v>
      </c>
      <c r="E91" s="213"/>
      <c r="F91" s="213"/>
      <c r="G91" s="213"/>
      <c r="H91" s="213"/>
      <c r="I91" s="213"/>
      <c r="J91" s="213"/>
      <c r="K91" s="212"/>
      <c r="L91" s="2"/>
      <c r="M91" s="83">
        <v>3</v>
      </c>
      <c r="N91" s="47" t="str">
        <f>IF(L91="NA","",
IF(L91="Yes",5,
IF(L91="Partial",4,
IF(L91="In Progress",3,
IF(L91="Not clarified",2,
IF(L91="No",0,""))))))</f>
        <v/>
      </c>
      <c r="O91" s="47" t="str">
        <f>IF(N91="","",N91*M91)</f>
        <v/>
      </c>
      <c r="P91" s="223"/>
      <c r="Q91" s="121"/>
      <c r="R91" s="213"/>
      <c r="S91" s="212"/>
    </row>
    <row r="92" spans="1:19" ht="14.45" customHeight="1">
      <c r="A92" s="222"/>
      <c r="B92" s="222"/>
      <c r="C92" s="222"/>
      <c r="D92" s="151" t="s">
        <v>112</v>
      </c>
      <c r="E92" s="213"/>
      <c r="F92" s="213"/>
      <c r="G92" s="213"/>
      <c r="H92" s="213"/>
      <c r="I92" s="213"/>
      <c r="J92" s="213"/>
      <c r="K92" s="212"/>
      <c r="L92" s="2"/>
      <c r="M92" s="83">
        <v>5</v>
      </c>
      <c r="N92" s="47" t="str">
        <f>IF(L92="NA","",
IF(L92="Yes",5,
IF(L92="Partial",4,
IF(L92="In Progress",3,
IF(L92="Not clarified",2,
IF(L92="No",0,""))))))</f>
        <v/>
      </c>
      <c r="O92" s="47" t="str">
        <f>IF(N92="","",N92*M92)</f>
        <v/>
      </c>
      <c r="P92" s="223"/>
      <c r="Q92" s="228"/>
      <c r="R92" s="213"/>
      <c r="S92" s="212"/>
    </row>
    <row r="93" spans="1:19" ht="14.45" customHeight="1">
      <c r="A93" s="226"/>
      <c r="B93" s="226"/>
      <c r="C93" s="226"/>
      <c r="D93" s="151" t="s">
        <v>113</v>
      </c>
      <c r="E93" s="213"/>
      <c r="F93" s="213"/>
      <c r="G93" s="213"/>
      <c r="H93" s="213"/>
      <c r="I93" s="213"/>
      <c r="J93" s="213"/>
      <c r="K93" s="212"/>
      <c r="L93" s="2"/>
      <c r="M93" s="83">
        <v>5</v>
      </c>
      <c r="N93" s="47" t="str">
        <f>IF(L93="NA","",
IF(L93="Yes",5,
IF(L93="Partial",4,
IF(L93="In Progress",3,
IF(L93="Not clarified",2,
IF(L93="No",0,""))))))</f>
        <v/>
      </c>
      <c r="O93" s="47" t="str">
        <f>IF(N93="","",N93*M93)</f>
        <v/>
      </c>
      <c r="P93" s="227"/>
      <c r="Q93" s="121"/>
      <c r="R93" s="213"/>
      <c r="S93" s="212"/>
    </row>
    <row r="94" spans="1:19" ht="14.45" customHeight="1">
      <c r="A94" s="59"/>
      <c r="B94" s="4"/>
      <c r="C94" s="4"/>
      <c r="D94" s="122"/>
      <c r="E94" s="213"/>
      <c r="F94" s="213"/>
      <c r="G94" s="213"/>
      <c r="H94" s="213"/>
      <c r="I94" s="213"/>
      <c r="J94" s="213"/>
      <c r="K94" s="212"/>
      <c r="L94" s="2"/>
      <c r="M94" s="47"/>
      <c r="N94" s="47" t="str">
        <f>IF(L94="NA","",
IF(L94="Yes",5,
IF(L94="Partial",4,
IF(L94="In Progress",3,
IF(L94="Not clarified",2,
IF(L94="No",0,""))))))</f>
        <v/>
      </c>
      <c r="O94" s="47" t="str">
        <f>IF(N94="","",N94*M94)</f>
        <v/>
      </c>
      <c r="P94" s="54"/>
      <c r="Q94" s="228"/>
      <c r="R94" s="213"/>
      <c r="S94" s="212"/>
    </row>
    <row r="95" spans="1:19" ht="14.45" customHeight="1">
      <c r="A95" s="130">
        <v>6</v>
      </c>
      <c r="B95" s="129" t="s">
        <v>114</v>
      </c>
      <c r="C95" s="129" t="s">
        <v>115</v>
      </c>
      <c r="D95" s="122" t="s">
        <v>116</v>
      </c>
      <c r="E95" s="213"/>
      <c r="F95" s="213"/>
      <c r="G95" s="213"/>
      <c r="H95" s="213"/>
      <c r="I95" s="213"/>
      <c r="J95" s="213"/>
      <c r="K95" s="212"/>
      <c r="L95" s="2"/>
      <c r="M95" s="83">
        <v>5</v>
      </c>
      <c r="N95" s="47" t="str">
        <f>IF(L95="NA","",
IF(L95="Yes",5,
IF(L95="Partial",4,
IF(L95="In Progress",3,
IF(L95="Not clarified",2,
IF(L95="No",0,""))))))</f>
        <v/>
      </c>
      <c r="O95" s="47" t="str">
        <f>IF(N95="","",N95*M95)</f>
        <v/>
      </c>
      <c r="P95" s="127" t="str">
        <f>IFERROR(AVERAGE(O95:O105),"")</f>
        <v/>
      </c>
      <c r="Q95" s="142"/>
      <c r="R95" s="229"/>
      <c r="S95" s="230"/>
    </row>
    <row r="96" spans="1:19" ht="14.45" customHeight="1">
      <c r="A96" s="222"/>
      <c r="B96" s="222"/>
      <c r="C96" s="222"/>
      <c r="D96" s="122" t="s">
        <v>117</v>
      </c>
      <c r="E96" s="213"/>
      <c r="F96" s="213"/>
      <c r="G96" s="213"/>
      <c r="H96" s="213"/>
      <c r="I96" s="213"/>
      <c r="J96" s="213"/>
      <c r="K96" s="212"/>
      <c r="L96" s="2"/>
      <c r="M96" s="83">
        <v>5</v>
      </c>
      <c r="N96" s="47" t="str">
        <f>IF(L96="NA","",
IF(L96="Yes",5,
IF(L96="Partial",4,
IF(L96="In Progress",3,
IF(L96="Not clarified",2,
IF(L96="No",0,""))))))</f>
        <v/>
      </c>
      <c r="O96" s="47" t="str">
        <f>IF(N96="","",N96*M96)</f>
        <v/>
      </c>
      <c r="P96" s="223"/>
      <c r="Q96" s="235"/>
      <c r="R96" s="225"/>
      <c r="S96" s="236"/>
    </row>
    <row r="97" spans="1:19" ht="14.45" customHeight="1">
      <c r="A97" s="222"/>
      <c r="B97" s="222"/>
      <c r="C97" s="222"/>
      <c r="D97" s="122" t="s">
        <v>118</v>
      </c>
      <c r="E97" s="213"/>
      <c r="F97" s="213"/>
      <c r="G97" s="213"/>
      <c r="H97" s="213"/>
      <c r="I97" s="213"/>
      <c r="J97" s="213"/>
      <c r="K97" s="212"/>
      <c r="L97" s="2"/>
      <c r="M97" s="83">
        <v>3</v>
      </c>
      <c r="N97" s="47" t="str">
        <f>IF(L97="NA","",
IF(L97="Yes",5,
IF(L97="Partial",4,
IF(L97="In Progress",3,
IF(L97="Not clarified",2,
IF(L97="No",0,""))))))</f>
        <v/>
      </c>
      <c r="O97" s="47" t="str">
        <f>IF(N97="","",N97*M97)</f>
        <v/>
      </c>
      <c r="P97" s="223"/>
      <c r="Q97" s="235"/>
      <c r="R97" s="225"/>
      <c r="S97" s="236"/>
    </row>
    <row r="98" spans="1:19" ht="14.45" customHeight="1">
      <c r="A98" s="222"/>
      <c r="B98" s="222"/>
      <c r="C98" s="222"/>
      <c r="D98" s="122" t="s">
        <v>119</v>
      </c>
      <c r="E98" s="213"/>
      <c r="F98" s="213"/>
      <c r="G98" s="213"/>
      <c r="H98" s="213"/>
      <c r="I98" s="213"/>
      <c r="J98" s="213"/>
      <c r="K98" s="212"/>
      <c r="L98" s="2"/>
      <c r="M98" s="83">
        <v>5</v>
      </c>
      <c r="N98" s="47" t="str">
        <f>IF(L98="NA","",
IF(L98="Yes",5,
IF(L98="Partial",4,
IF(L98="In Progress",3,
IF(L98="Not clarified",2,
IF(L98="No",0,""))))))</f>
        <v/>
      </c>
      <c r="O98" s="47" t="str">
        <f>IF(N98="","",N98*M98)</f>
        <v/>
      </c>
      <c r="P98" s="223"/>
      <c r="Q98" s="235"/>
      <c r="R98" s="225"/>
      <c r="S98" s="236"/>
    </row>
    <row r="99" spans="1:19" ht="14.45" customHeight="1">
      <c r="A99" s="222"/>
      <c r="B99" s="222"/>
      <c r="C99" s="222"/>
      <c r="D99" s="123" t="s">
        <v>120</v>
      </c>
      <c r="E99" s="213"/>
      <c r="F99" s="213"/>
      <c r="G99" s="213"/>
      <c r="H99" s="213"/>
      <c r="I99" s="213"/>
      <c r="J99" s="213"/>
      <c r="K99" s="212"/>
      <c r="L99" s="2"/>
      <c r="M99" s="83">
        <v>3</v>
      </c>
      <c r="N99" s="47" t="str">
        <f>IF(L99="NA","",
IF(L99="Yes",5,
IF(L99="Partial",4,
IF(L99="In Progress",3,
IF(L99="Not clarified",2,
IF(L99="No",0,""))))))</f>
        <v/>
      </c>
      <c r="O99" s="47" t="str">
        <f>IF(N99="","",N99*M99)</f>
        <v/>
      </c>
      <c r="P99" s="223"/>
      <c r="Q99" s="235"/>
      <c r="R99" s="225"/>
      <c r="S99" s="236"/>
    </row>
    <row r="100" spans="1:19" ht="14.45" customHeight="1">
      <c r="A100" s="222"/>
      <c r="B100" s="222"/>
      <c r="C100" s="222"/>
      <c r="D100" s="123" t="s">
        <v>121</v>
      </c>
      <c r="E100" s="213"/>
      <c r="F100" s="213"/>
      <c r="G100" s="213"/>
      <c r="H100" s="213"/>
      <c r="I100" s="213"/>
      <c r="J100" s="213"/>
      <c r="K100" s="212"/>
      <c r="L100" s="2"/>
      <c r="M100" s="83">
        <v>5</v>
      </c>
      <c r="N100" s="47" t="str">
        <f>IF(L100="NA","",
IF(L100="Yes",5,
IF(L100="Partial",4,
IF(L100="In Progress",3,
IF(L100="Not clarified",2,
IF(L100="No",0,""))))))</f>
        <v/>
      </c>
      <c r="O100" s="47" t="str">
        <f>IF(N100="","",N100*M100)</f>
        <v/>
      </c>
      <c r="P100" s="223"/>
      <c r="Q100" s="235"/>
      <c r="R100" s="225"/>
      <c r="S100" s="236"/>
    </row>
    <row r="101" spans="1:19" ht="14.45" customHeight="1">
      <c r="A101" s="222"/>
      <c r="B101" s="222"/>
      <c r="C101" s="222"/>
      <c r="D101" s="123" t="s">
        <v>122</v>
      </c>
      <c r="E101" s="213"/>
      <c r="F101" s="213"/>
      <c r="G101" s="213"/>
      <c r="H101" s="213"/>
      <c r="I101" s="213"/>
      <c r="J101" s="213"/>
      <c r="K101" s="212"/>
      <c r="L101" s="2"/>
      <c r="M101" s="83">
        <v>5</v>
      </c>
      <c r="N101" s="47" t="str">
        <f>IF(L101="NA","",
IF(L101="Yes",5,
IF(L101="Partial",4,
IF(L101="In Progress",3,
IF(L101="Not clarified",2,
IF(L101="No",0,""))))))</f>
        <v/>
      </c>
      <c r="O101" s="47" t="str">
        <f>IF(N101="","",N101*M101)</f>
        <v/>
      </c>
      <c r="P101" s="223"/>
      <c r="Q101" s="235"/>
      <c r="R101" s="225"/>
      <c r="S101" s="236"/>
    </row>
    <row r="102" spans="1:19" ht="14.45" customHeight="1">
      <c r="A102" s="222"/>
      <c r="B102" s="222"/>
      <c r="C102" s="222"/>
      <c r="D102" s="123" t="s">
        <v>123</v>
      </c>
      <c r="E102" s="213"/>
      <c r="F102" s="213"/>
      <c r="G102" s="213"/>
      <c r="H102" s="213"/>
      <c r="I102" s="213"/>
      <c r="J102" s="213"/>
      <c r="K102" s="212"/>
      <c r="L102" s="2"/>
      <c r="M102" s="83">
        <v>4</v>
      </c>
      <c r="N102" s="47" t="str">
        <f>IF(L102="NA","",
IF(L102="Yes",5,
IF(L102="Partial",4,
IF(L102="In Progress",3,
IF(L102="Not clarified",2,
IF(L102="No",0,""))))))</f>
        <v/>
      </c>
      <c r="O102" s="47" t="str">
        <f>IF(N102="","",N102*M102)</f>
        <v/>
      </c>
      <c r="P102" s="223"/>
      <c r="Q102" s="235"/>
      <c r="R102" s="225"/>
      <c r="S102" s="236"/>
    </row>
    <row r="103" spans="1:19" ht="14.45" customHeight="1">
      <c r="A103" s="222"/>
      <c r="B103" s="222"/>
      <c r="C103" s="222"/>
      <c r="D103" s="41" t="s">
        <v>124</v>
      </c>
      <c r="E103" s="42"/>
      <c r="F103" s="42"/>
      <c r="G103" s="42"/>
      <c r="H103" s="42"/>
      <c r="I103" s="42"/>
      <c r="J103" s="42"/>
      <c r="K103" s="43"/>
      <c r="L103" s="2"/>
      <c r="M103" s="83">
        <v>4</v>
      </c>
      <c r="N103" s="47" t="str">
        <f>IF(L103="NA","",
IF(L103="Yes",5,
IF(L103="Partial",4,
IF(L103="In Progress",3,
IF(L103="Not clarified",2,
IF(L103="No",0,""))))))</f>
        <v/>
      </c>
      <c r="O103" s="47" t="str">
        <f>IF(N103="","",N103*M103)</f>
        <v/>
      </c>
      <c r="P103" s="223"/>
      <c r="Q103" s="235"/>
      <c r="R103" s="225"/>
      <c r="S103" s="236"/>
    </row>
    <row r="104" spans="1:19" ht="14.45" customHeight="1">
      <c r="A104" s="222"/>
      <c r="B104" s="222"/>
      <c r="C104" s="222"/>
      <c r="D104" s="41" t="s">
        <v>125</v>
      </c>
      <c r="E104" s="42"/>
      <c r="F104" s="42"/>
      <c r="G104" s="42"/>
      <c r="H104" s="42"/>
      <c r="I104" s="42"/>
      <c r="J104" s="42"/>
      <c r="K104" s="43"/>
      <c r="L104" s="2"/>
      <c r="M104" s="83">
        <v>5</v>
      </c>
      <c r="N104" s="47" t="str">
        <f>IF(L104="NA","",
IF(L104="Yes",5,
IF(L104="Partial",4,
IF(L104="In Progress",3,
IF(L104="Not clarified",2,
IF(L104="No",0,""))))))</f>
        <v/>
      </c>
      <c r="O104" s="47" t="str">
        <f>IF(N104="","",N104*M104)</f>
        <v/>
      </c>
      <c r="P104" s="223"/>
      <c r="Q104" s="235"/>
      <c r="R104" s="225"/>
      <c r="S104" s="236"/>
    </row>
    <row r="105" spans="1:19" ht="14.45" customHeight="1">
      <c r="A105" s="222"/>
      <c r="B105" s="222"/>
      <c r="C105" s="226"/>
      <c r="D105" s="156" t="s">
        <v>126</v>
      </c>
      <c r="E105" s="213"/>
      <c r="F105" s="213"/>
      <c r="G105" s="213"/>
      <c r="H105" s="213"/>
      <c r="I105" s="213"/>
      <c r="J105" s="213"/>
      <c r="K105" s="212"/>
      <c r="L105" s="2"/>
      <c r="M105" s="83">
        <v>4</v>
      </c>
      <c r="N105" s="47" t="str">
        <f>IF(L105="NA","",
IF(L105="Yes",5,
IF(L105="Partial",4,
IF(L105="In Progress",3,
IF(L105="Not clarified",2,
IF(L105="No",0,""))))))</f>
        <v/>
      </c>
      <c r="O105" s="47" t="str">
        <f>IF(N105="","",N105*M105)</f>
        <v/>
      </c>
      <c r="P105" s="227"/>
      <c r="Q105" s="231"/>
      <c r="R105" s="219"/>
      <c r="S105" s="220"/>
    </row>
    <row r="106" spans="1:19" ht="14.45" customHeight="1">
      <c r="A106" s="222"/>
      <c r="B106" s="222"/>
      <c r="C106" s="21"/>
      <c r="D106" s="33"/>
      <c r="E106" s="34"/>
      <c r="F106" s="34"/>
      <c r="G106" s="34"/>
      <c r="H106" s="34"/>
      <c r="I106" s="34"/>
      <c r="J106" s="34"/>
      <c r="K106" s="35"/>
      <c r="L106" s="2"/>
      <c r="M106" s="47"/>
      <c r="N106" s="47" t="str">
        <f>IF(L106="NA","",
IF(L106="Yes",5,
IF(L106="Partial",4,
IF(L106="In Progress",3,
IF(L106="Not clarified",2,
IF(L106="No",0,""))))))</f>
        <v/>
      </c>
      <c r="O106" s="47" t="str">
        <f>IF(N106="","",N106*M106)</f>
        <v/>
      </c>
      <c r="P106" s="54"/>
      <c r="Q106" s="121"/>
      <c r="R106" s="213"/>
      <c r="S106" s="212"/>
    </row>
    <row r="107" spans="1:19" ht="14.45" customHeight="1">
      <c r="A107" s="222"/>
      <c r="B107" s="222"/>
      <c r="C107" s="129" t="s">
        <v>127</v>
      </c>
      <c r="D107" s="123" t="s">
        <v>128</v>
      </c>
      <c r="E107" s="213"/>
      <c r="F107" s="213"/>
      <c r="G107" s="213"/>
      <c r="H107" s="213"/>
      <c r="I107" s="213"/>
      <c r="J107" s="213"/>
      <c r="K107" s="212"/>
      <c r="L107" s="2"/>
      <c r="M107" s="83">
        <v>5</v>
      </c>
      <c r="N107" s="47" t="str">
        <f>IF(L107="NA","",
IF(L107="Yes",5,
IF(L107="Partial",4,
IF(L107="In Progress",3,
IF(L107="Not clarified",2,
IF(L107="No",0,""))))))</f>
        <v/>
      </c>
      <c r="O107" s="47" t="str">
        <f>IF(N107="","",N107*M107)</f>
        <v/>
      </c>
      <c r="P107" s="127" t="str">
        <f>IFERROR(AVERAGE(O107:O111),"")</f>
        <v/>
      </c>
      <c r="Q107" s="142"/>
      <c r="R107" s="229"/>
      <c r="S107" s="230"/>
    </row>
    <row r="108" spans="1:19" ht="14.45" customHeight="1">
      <c r="A108" s="222"/>
      <c r="B108" s="222"/>
      <c r="C108" s="222"/>
      <c r="D108" s="123" t="s">
        <v>129</v>
      </c>
      <c r="E108" s="213"/>
      <c r="F108" s="213"/>
      <c r="G108" s="213"/>
      <c r="H108" s="213"/>
      <c r="I108" s="213"/>
      <c r="J108" s="213"/>
      <c r="K108" s="212"/>
      <c r="L108" s="2"/>
      <c r="M108" s="83">
        <v>5</v>
      </c>
      <c r="N108" s="47" t="str">
        <f>IF(L108="NA","",
IF(L108="Yes",5,
IF(L108="Partial",4,
IF(L108="In Progress",3,
IF(L108="Not clarified",2,
IF(L108="No",0,""))))))</f>
        <v/>
      </c>
      <c r="O108" s="47" t="str">
        <f>IF(N108="","",N108*M108)</f>
        <v/>
      </c>
      <c r="P108" s="223"/>
      <c r="Q108" s="235"/>
      <c r="R108" s="225"/>
      <c r="S108" s="236"/>
    </row>
    <row r="109" spans="1:19" ht="14.45" customHeight="1">
      <c r="A109" s="222"/>
      <c r="B109" s="222"/>
      <c r="C109" s="222"/>
      <c r="D109" s="123" t="s">
        <v>130</v>
      </c>
      <c r="E109" s="213"/>
      <c r="F109" s="213"/>
      <c r="G109" s="213"/>
      <c r="H109" s="213"/>
      <c r="I109" s="213"/>
      <c r="J109" s="213"/>
      <c r="K109" s="212"/>
      <c r="L109" s="2"/>
      <c r="M109" s="83">
        <v>4</v>
      </c>
      <c r="N109" s="47" t="str">
        <f>IF(L109="NA","",
IF(L109="Yes",5,
IF(L109="Partial",4,
IF(L109="In Progress",3,
IF(L109="Not clarified",2,
IF(L109="No",0,""))))))</f>
        <v/>
      </c>
      <c r="O109" s="47" t="str">
        <f>IF(N109="","",N109*M109)</f>
        <v/>
      </c>
      <c r="P109" s="223"/>
      <c r="Q109" s="235"/>
      <c r="R109" s="225"/>
      <c r="S109" s="236"/>
    </row>
    <row r="110" spans="1:19" ht="14.45" customHeight="1">
      <c r="A110" s="222"/>
      <c r="B110" s="222"/>
      <c r="C110" s="222"/>
      <c r="D110" s="123" t="s">
        <v>131</v>
      </c>
      <c r="E110" s="213"/>
      <c r="F110" s="213"/>
      <c r="G110" s="213"/>
      <c r="H110" s="213"/>
      <c r="I110" s="213"/>
      <c r="J110" s="213"/>
      <c r="K110" s="212"/>
      <c r="L110" s="2"/>
      <c r="M110" s="83">
        <v>3</v>
      </c>
      <c r="N110" s="47" t="str">
        <f>IF(L110="NA","",
IF(L110="Yes",5,
IF(L110="Partial",4,
IF(L110="In Progress",3,
IF(L110="Not clarified",2,
IF(L110="No",0,""))))))</f>
        <v/>
      </c>
      <c r="O110" s="47" t="str">
        <f>IF(N110="","",N110*M110)</f>
        <v/>
      </c>
      <c r="P110" s="223"/>
      <c r="Q110" s="235"/>
      <c r="R110" s="225"/>
      <c r="S110" s="236"/>
    </row>
    <row r="111" spans="1:19" ht="14.45" customHeight="1">
      <c r="A111" s="222"/>
      <c r="B111" s="222"/>
      <c r="C111" s="226"/>
      <c r="D111" s="123" t="s">
        <v>132</v>
      </c>
      <c r="E111" s="213"/>
      <c r="F111" s="213"/>
      <c r="G111" s="213"/>
      <c r="H111" s="213"/>
      <c r="I111" s="213"/>
      <c r="J111" s="213"/>
      <c r="K111" s="212"/>
      <c r="L111" s="2"/>
      <c r="M111" s="83">
        <v>4</v>
      </c>
      <c r="N111" s="47" t="str">
        <f>IF(L111="NA","",
IF(L111="Yes",5,
IF(L111="Partial",4,
IF(L111="In Progress",3,
IF(L111="Not clarified",2,
IF(L111="No",0,""))))))</f>
        <v/>
      </c>
      <c r="O111" s="47" t="str">
        <f>IF(N111="","",N111*M111)</f>
        <v/>
      </c>
      <c r="P111" s="227"/>
      <c r="Q111" s="231"/>
      <c r="R111" s="219"/>
      <c r="S111" s="220"/>
    </row>
    <row r="112" spans="1:19" s="40" customFormat="1" ht="14.45" customHeight="1">
      <c r="A112" s="222"/>
      <c r="B112" s="222"/>
      <c r="C112" s="36"/>
      <c r="D112" s="37"/>
      <c r="E112" s="38"/>
      <c r="F112" s="38"/>
      <c r="G112" s="38"/>
      <c r="H112" s="38"/>
      <c r="I112" s="38"/>
      <c r="J112" s="38"/>
      <c r="K112" s="39"/>
      <c r="L112" s="2"/>
      <c r="M112" s="47"/>
      <c r="N112" s="47" t="str">
        <f>IF(L112="NA","",
IF(L112="Yes",5,
IF(L112="Partial",4,
IF(L112="In Progress",3,
IF(L112="Not clarified",2,
IF(L112="No",0,""))))))</f>
        <v/>
      </c>
      <c r="O112" s="47" t="str">
        <f>IF(N112="","",N112*M112)</f>
        <v/>
      </c>
      <c r="P112" s="54"/>
      <c r="Q112" s="69"/>
      <c r="R112" s="69"/>
      <c r="S112" s="70"/>
    </row>
    <row r="113" spans="1:19" ht="14.45" customHeight="1">
      <c r="A113" s="222"/>
      <c r="B113" s="222"/>
      <c r="C113" s="129" t="s">
        <v>133</v>
      </c>
      <c r="D113" s="122" t="s">
        <v>134</v>
      </c>
      <c r="E113" s="213"/>
      <c r="F113" s="213"/>
      <c r="G113" s="213"/>
      <c r="H113" s="213"/>
      <c r="I113" s="213"/>
      <c r="J113" s="213"/>
      <c r="K113" s="212"/>
      <c r="L113" s="2"/>
      <c r="M113" s="83">
        <v>5</v>
      </c>
      <c r="N113" s="47" t="str">
        <f>IF(L113="NA","",
IF(L113="Yes",5,
IF(L113="Partial",4,
IF(L113="In Progress",3,
IF(L113="Not clarified",2,
IF(L113="No",0,""))))))</f>
        <v/>
      </c>
      <c r="O113" s="47" t="str">
        <f>IF(N113="","",N113*M113)</f>
        <v/>
      </c>
      <c r="P113" s="127" t="str">
        <f>IFERROR(AVERAGE(O113:O119),"")</f>
        <v/>
      </c>
      <c r="Q113" s="121"/>
      <c r="R113" s="213"/>
      <c r="S113" s="212"/>
    </row>
    <row r="114" spans="1:19" ht="14.45" customHeight="1">
      <c r="A114" s="222"/>
      <c r="B114" s="222"/>
      <c r="C114" s="222"/>
      <c r="D114" s="123" t="s">
        <v>135</v>
      </c>
      <c r="E114" s="213"/>
      <c r="F114" s="213"/>
      <c r="G114" s="213"/>
      <c r="H114" s="213"/>
      <c r="I114" s="213"/>
      <c r="J114" s="213"/>
      <c r="K114" s="212"/>
      <c r="L114" s="2"/>
      <c r="M114" s="83">
        <v>5</v>
      </c>
      <c r="N114" s="47" t="str">
        <f>IF(L114="NA","",
IF(L114="Yes",5,
IF(L114="Partial",4,
IF(L114="In Progress",3,
IF(L114="Not clarified",2,
IF(L114="No",0,""))))))</f>
        <v/>
      </c>
      <c r="O114" s="47" t="str">
        <f>IF(N114="","",N114*M114)</f>
        <v/>
      </c>
      <c r="P114" s="223"/>
      <c r="Q114" s="121"/>
      <c r="R114" s="213"/>
      <c r="S114" s="212"/>
    </row>
    <row r="115" spans="1:19" ht="14.45" customHeight="1">
      <c r="A115" s="222"/>
      <c r="B115" s="222"/>
      <c r="C115" s="222"/>
      <c r="D115" s="123" t="s">
        <v>136</v>
      </c>
      <c r="E115" s="213"/>
      <c r="F115" s="213"/>
      <c r="G115" s="213"/>
      <c r="H115" s="213"/>
      <c r="I115" s="213"/>
      <c r="J115" s="213"/>
      <c r="K115" s="212"/>
      <c r="L115" s="2"/>
      <c r="M115" s="83">
        <v>4</v>
      </c>
      <c r="N115" s="47" t="str">
        <f>IF(L115="NA","",
IF(L115="Yes",5,
IF(L115="Partial",4,
IF(L115="In Progress",3,
IF(L115="Not clarified",2,
IF(L115="No",0,""))))))</f>
        <v/>
      </c>
      <c r="O115" s="47" t="str">
        <f>IF(N115="","",N115*M115)</f>
        <v/>
      </c>
      <c r="P115" s="223"/>
      <c r="Q115" s="142"/>
      <c r="R115" s="229"/>
      <c r="S115" s="230"/>
    </row>
    <row r="116" spans="1:19" ht="14.45" customHeight="1">
      <c r="A116" s="222"/>
      <c r="B116" s="222"/>
      <c r="C116" s="222"/>
      <c r="D116" s="122" t="s">
        <v>137</v>
      </c>
      <c r="E116" s="213"/>
      <c r="F116" s="213"/>
      <c r="G116" s="213"/>
      <c r="H116" s="213"/>
      <c r="I116" s="213"/>
      <c r="J116" s="213"/>
      <c r="K116" s="212"/>
      <c r="L116" s="2"/>
      <c r="M116" s="83">
        <v>3</v>
      </c>
      <c r="N116" s="47" t="str">
        <f>IF(L116="NA","",
IF(L116="Yes",5,
IF(L116="Partial",4,
IF(L116="In Progress",3,
IF(L116="Not clarified",2,
IF(L116="No",0,""))))))</f>
        <v/>
      </c>
      <c r="O116" s="47" t="str">
        <f>IF(N116="","",N116*M116)</f>
        <v/>
      </c>
      <c r="P116" s="223"/>
      <c r="Q116" s="235"/>
      <c r="R116" s="225"/>
      <c r="S116" s="236"/>
    </row>
    <row r="117" spans="1:19" ht="14.45" customHeight="1">
      <c r="A117" s="222"/>
      <c r="B117" s="222"/>
      <c r="C117" s="222"/>
      <c r="D117" s="123" t="s">
        <v>138</v>
      </c>
      <c r="E117" s="213"/>
      <c r="F117" s="213"/>
      <c r="G117" s="213"/>
      <c r="H117" s="213"/>
      <c r="I117" s="213"/>
      <c r="J117" s="213"/>
      <c r="K117" s="212"/>
      <c r="L117" s="2"/>
      <c r="M117" s="83">
        <v>4</v>
      </c>
      <c r="N117" s="47" t="str">
        <f>IF(L117="NA","",
IF(L117="Yes",5,
IF(L117="Partial",4,
IF(L117="In Progress",3,
IF(L117="Not clarified",2,
IF(L117="No",0,""))))))</f>
        <v/>
      </c>
      <c r="O117" s="47" t="str">
        <f>IF(N117="","",N117*M117)</f>
        <v/>
      </c>
      <c r="P117" s="223"/>
      <c r="Q117" s="235"/>
      <c r="R117" s="225"/>
      <c r="S117" s="236"/>
    </row>
    <row r="118" spans="1:19" ht="14.45" customHeight="1">
      <c r="A118" s="222"/>
      <c r="B118" s="222"/>
      <c r="C118" s="222"/>
      <c r="D118" s="123" t="s">
        <v>139</v>
      </c>
      <c r="E118" s="213"/>
      <c r="F118" s="213"/>
      <c r="G118" s="213"/>
      <c r="H118" s="213"/>
      <c r="I118" s="213"/>
      <c r="J118" s="213"/>
      <c r="K118" s="212"/>
      <c r="L118" s="2"/>
      <c r="M118" s="83">
        <v>4</v>
      </c>
      <c r="N118" s="47" t="str">
        <f>IF(L118="NA","",
IF(L118="Yes",5,
IF(L118="Partial",4,
IF(L118="In Progress",3,
IF(L118="Not clarified",2,
IF(L118="No",0,""))))))</f>
        <v/>
      </c>
      <c r="O118" s="47" t="str">
        <f>IF(N118="","",N118*M118)</f>
        <v/>
      </c>
      <c r="P118" s="223"/>
      <c r="Q118" s="235"/>
      <c r="R118" s="225"/>
      <c r="S118" s="236"/>
    </row>
    <row r="119" spans="1:19" ht="14.45" customHeight="1">
      <c r="A119" s="226"/>
      <c r="B119" s="226"/>
      <c r="C119" s="226"/>
      <c r="D119" s="123" t="s">
        <v>140</v>
      </c>
      <c r="E119" s="213"/>
      <c r="F119" s="213"/>
      <c r="G119" s="213"/>
      <c r="H119" s="213"/>
      <c r="I119" s="213"/>
      <c r="J119" s="213"/>
      <c r="K119" s="212"/>
      <c r="L119" s="2"/>
      <c r="M119" s="83">
        <v>3</v>
      </c>
      <c r="N119" s="47" t="str">
        <f>IF(L119="NA","",
IF(L119="Yes",5,
IF(L119="Partial",4,
IF(L119="In Progress",3,
IF(L119="Not clarified",2,
IF(L119="No",0,""))))))</f>
        <v/>
      </c>
      <c r="O119" s="47" t="str">
        <f>IF(N119="","",N119*M119)</f>
        <v/>
      </c>
      <c r="P119" s="227"/>
      <c r="Q119" s="231"/>
      <c r="R119" s="219"/>
      <c r="S119" s="220"/>
    </row>
    <row r="120" spans="1:19" ht="14.45" customHeight="1">
      <c r="A120" s="59"/>
      <c r="B120" s="4"/>
      <c r="C120" s="4"/>
      <c r="D120" s="123"/>
      <c r="E120" s="213"/>
      <c r="F120" s="213"/>
      <c r="G120" s="213"/>
      <c r="H120" s="213"/>
      <c r="I120" s="213"/>
      <c r="J120" s="213"/>
      <c r="K120" s="212"/>
      <c r="L120" s="2"/>
      <c r="M120" s="47"/>
      <c r="N120" s="47" t="str">
        <f>IF(L120="NA","",
IF(L120="Yes",5,
IF(L120="Partial",4,
IF(L120="In Progress",3,
IF(L120="Not clarified",2,
IF(L120="No",0,""))))))</f>
        <v/>
      </c>
      <c r="O120" s="47" t="str">
        <f>IF(N120="","",N120*M120)</f>
        <v/>
      </c>
      <c r="P120" s="54"/>
      <c r="Q120" s="228"/>
      <c r="R120" s="213"/>
      <c r="S120" s="212"/>
    </row>
    <row r="121" spans="1:19" ht="14.45" customHeight="1">
      <c r="A121" s="130">
        <v>7</v>
      </c>
      <c r="B121" s="129" t="s">
        <v>141</v>
      </c>
      <c r="C121" s="130" t="s">
        <v>142</v>
      </c>
      <c r="D121" s="237" t="s">
        <v>143</v>
      </c>
      <c r="E121" s="213"/>
      <c r="F121" s="213"/>
      <c r="G121" s="213"/>
      <c r="H121" s="213"/>
      <c r="I121" s="213"/>
      <c r="J121" s="213"/>
      <c r="K121" s="212"/>
      <c r="L121" s="2"/>
      <c r="M121" s="83">
        <v>5</v>
      </c>
      <c r="N121" s="47" t="str">
        <f>IF(L121="NA","",
IF(L121="Yes",5,
IF(L121="Partial",4,
IF(L121="In Progress",3,
IF(L121="Not clarified",2,
IF(L121="No",0,""))))))</f>
        <v/>
      </c>
      <c r="O121" s="47" t="str">
        <f>IF(N121="","",N121*M121)</f>
        <v/>
      </c>
      <c r="P121" s="127" t="str">
        <f>IFERROR(AVERAGE(O121:O123),"")</f>
        <v/>
      </c>
      <c r="Q121" s="228"/>
      <c r="R121" s="213"/>
      <c r="S121" s="212"/>
    </row>
    <row r="122" spans="1:19" ht="14.45" customHeight="1">
      <c r="A122" s="222"/>
      <c r="B122" s="222"/>
      <c r="C122" s="222"/>
      <c r="D122" s="237" t="s">
        <v>144</v>
      </c>
      <c r="E122" s="213"/>
      <c r="F122" s="213"/>
      <c r="G122" s="213"/>
      <c r="H122" s="213"/>
      <c r="I122" s="213"/>
      <c r="J122" s="213"/>
      <c r="K122" s="212"/>
      <c r="L122" s="2"/>
      <c r="M122" s="83">
        <v>4</v>
      </c>
      <c r="N122" s="47" t="str">
        <f>IF(L122="NA","",
IF(L122="Yes",5,
IF(L122="Partial",4,
IF(L122="In Progress",3,
IF(L122="Not clarified",2,
IF(L122="No",0,""))))))</f>
        <v/>
      </c>
      <c r="O122" s="47" t="str">
        <f>IF(N122="","",N122*M122)</f>
        <v/>
      </c>
      <c r="P122" s="223"/>
      <c r="Q122" s="228"/>
      <c r="R122" s="213"/>
      <c r="S122" s="212"/>
    </row>
    <row r="123" spans="1:19" ht="14.45" customHeight="1">
      <c r="A123" s="226"/>
      <c r="B123" s="226"/>
      <c r="C123" s="226"/>
      <c r="D123" s="237" t="s">
        <v>145</v>
      </c>
      <c r="E123" s="213"/>
      <c r="F123" s="213"/>
      <c r="G123" s="213"/>
      <c r="H123" s="213"/>
      <c r="I123" s="213"/>
      <c r="J123" s="213"/>
      <c r="K123" s="212"/>
      <c r="L123" s="2"/>
      <c r="M123" s="83">
        <v>5</v>
      </c>
      <c r="N123" s="47" t="str">
        <f>IF(L123="NA","",
IF(L123="Yes",5,
IF(L123="Partial",4,
IF(L123="In Progress",3,
IF(L123="Not clarified",2,
IF(L123="No",0,""))))))</f>
        <v/>
      </c>
      <c r="O123" s="47" t="str">
        <f>IF(N123="","",N123*M123)</f>
        <v/>
      </c>
      <c r="P123" s="227"/>
      <c r="Q123" s="228"/>
      <c r="R123" s="213"/>
      <c r="S123" s="212"/>
    </row>
    <row r="124" spans="1:19" ht="14.45" customHeight="1">
      <c r="A124" s="59"/>
      <c r="B124" s="20"/>
      <c r="C124" s="20"/>
      <c r="D124" s="16"/>
      <c r="E124" s="17"/>
      <c r="F124" s="17"/>
      <c r="G124" s="17"/>
      <c r="H124" s="17"/>
      <c r="I124" s="17"/>
      <c r="J124" s="17"/>
      <c r="K124" s="18"/>
      <c r="L124" s="2"/>
      <c r="M124" s="47"/>
      <c r="N124" s="47" t="str">
        <f>IF(L124="NA","",
IF(L124="Yes",5,
IF(L124="Partial",4,
IF(L124="In Progress",3,
IF(L124="Not clarified",2,
IF(L124="No",0,""))))))</f>
        <v/>
      </c>
      <c r="O124" s="47" t="str">
        <f>IF(N124="","",N124*M124)</f>
        <v/>
      </c>
      <c r="P124" s="54"/>
      <c r="Q124" s="149"/>
      <c r="R124" s="213"/>
      <c r="S124" s="212"/>
    </row>
    <row r="125" spans="1:19" s="72" customFormat="1" ht="17.25" customHeight="1">
      <c r="A125" s="130">
        <v>8</v>
      </c>
      <c r="B125" s="129" t="s">
        <v>146</v>
      </c>
      <c r="C125" s="129" t="s">
        <v>147</v>
      </c>
      <c r="D125" s="128" t="s">
        <v>148</v>
      </c>
      <c r="E125" s="213"/>
      <c r="F125" s="213"/>
      <c r="G125" s="213"/>
      <c r="H125" s="213"/>
      <c r="I125" s="213"/>
      <c r="J125" s="213"/>
      <c r="K125" s="212"/>
      <c r="L125" s="104"/>
      <c r="M125" s="83">
        <v>5</v>
      </c>
      <c r="N125" s="47" t="str">
        <f>IF(L125="NA","",
IF(L125="Yes",5,
IF(L125="Partial",4,
IF(L125="In Progress",3,
IF(L125="Not clarified",2,
IF(L125="No",0,""))))))</f>
        <v/>
      </c>
      <c r="O125" s="47" t="str">
        <f>IF(N125="","",N125*M125)</f>
        <v/>
      </c>
      <c r="P125" s="127" t="str">
        <f>IFERROR(AVERAGE(O125:O130),"")</f>
        <v/>
      </c>
      <c r="Q125" s="147"/>
      <c r="R125" s="213"/>
      <c r="S125" s="212"/>
    </row>
    <row r="126" spans="1:19" ht="14.45" customHeight="1">
      <c r="A126" s="222"/>
      <c r="B126" s="222"/>
      <c r="C126" s="222"/>
      <c r="D126" s="122" t="s">
        <v>149</v>
      </c>
      <c r="E126" s="213"/>
      <c r="F126" s="213"/>
      <c r="G126" s="213"/>
      <c r="H126" s="213"/>
      <c r="I126" s="213"/>
      <c r="J126" s="213"/>
      <c r="K126" s="212"/>
      <c r="L126" s="104"/>
      <c r="M126" s="83">
        <v>5</v>
      </c>
      <c r="N126" s="47" t="str">
        <f>IF(L126="NA","",
IF(L126="Yes",5,
IF(L126="Partial",4,
IF(L126="In Progress",3,
IF(L126="Not clarified",2,
IF(L126="No",0,""))))))</f>
        <v/>
      </c>
      <c r="O126" s="47" t="str">
        <f>IF(N126="","",N126*M126)</f>
        <v/>
      </c>
      <c r="P126" s="223"/>
      <c r="Q126" s="149"/>
      <c r="R126" s="213"/>
      <c r="S126" s="212"/>
    </row>
    <row r="127" spans="1:19" ht="14.45" customHeight="1">
      <c r="A127" s="222"/>
      <c r="B127" s="222"/>
      <c r="C127" s="222"/>
      <c r="D127" s="122" t="s">
        <v>150</v>
      </c>
      <c r="E127" s="213"/>
      <c r="F127" s="213"/>
      <c r="G127" s="213"/>
      <c r="H127" s="213"/>
      <c r="I127" s="213"/>
      <c r="J127" s="213"/>
      <c r="K127" s="212"/>
      <c r="L127" s="104"/>
      <c r="M127" s="83">
        <v>4</v>
      </c>
      <c r="N127" s="47" t="str">
        <f>IF(L127="NA","",
IF(L127="Yes",5,
IF(L127="Partial",4,
IF(L127="In Progress",3,
IF(L127="Not clarified",2,
IF(L127="No",0,""))))))</f>
        <v/>
      </c>
      <c r="O127" s="47" t="str">
        <f>IF(N127="","",N127*M127)</f>
        <v/>
      </c>
      <c r="P127" s="223"/>
      <c r="Q127" s="149"/>
      <c r="R127" s="213"/>
      <c r="S127" s="212"/>
    </row>
    <row r="128" spans="1:19" ht="14.45" customHeight="1">
      <c r="A128" s="222"/>
      <c r="B128" s="222"/>
      <c r="C128" s="222"/>
      <c r="D128" s="122" t="s">
        <v>151</v>
      </c>
      <c r="E128" s="213"/>
      <c r="F128" s="213"/>
      <c r="G128" s="213"/>
      <c r="H128" s="213"/>
      <c r="I128" s="213"/>
      <c r="J128" s="213"/>
      <c r="K128" s="212"/>
      <c r="L128" s="104"/>
      <c r="M128" s="83">
        <v>5</v>
      </c>
      <c r="N128" s="47" t="str">
        <f>IF(L128="NA","",
IF(L128="Yes",5,
IF(L128="Partial",4,
IF(L128="In Progress",3,
IF(L128="Not clarified",2,
IF(L128="No",0,""))))))</f>
        <v/>
      </c>
      <c r="O128" s="47" t="str">
        <f>IF(N128="","",N128*M128)</f>
        <v/>
      </c>
      <c r="P128" s="223"/>
      <c r="Q128" s="125"/>
      <c r="R128" s="229"/>
      <c r="S128" s="230"/>
    </row>
    <row r="129" spans="1:19" ht="14.45" customHeight="1">
      <c r="A129" s="222"/>
      <c r="B129" s="222"/>
      <c r="C129" s="222"/>
      <c r="D129" s="122" t="s">
        <v>152</v>
      </c>
      <c r="E129" s="213"/>
      <c r="F129" s="213"/>
      <c r="G129" s="213"/>
      <c r="H129" s="213"/>
      <c r="I129" s="213"/>
      <c r="J129" s="213"/>
      <c r="K129" s="212"/>
      <c r="L129" s="104"/>
      <c r="M129" s="83">
        <v>4</v>
      </c>
      <c r="N129" s="47" t="str">
        <f>IF(L129="NA","",
IF(L129="Yes",5,
IF(L129="Partial",4,
IF(L129="In Progress",3,
IF(L129="Not clarified",2,
IF(L129="No",0,""))))))</f>
        <v/>
      </c>
      <c r="O129" s="47" t="str">
        <f>IF(N129="","",N129*M129)</f>
        <v/>
      </c>
      <c r="P129" s="223"/>
      <c r="Q129" s="235"/>
      <c r="R129" s="225"/>
      <c r="S129" s="236"/>
    </row>
    <row r="130" spans="1:19" s="72" customFormat="1" ht="29.45" customHeight="1">
      <c r="A130" s="222"/>
      <c r="B130" s="222"/>
      <c r="C130" s="226"/>
      <c r="D130" s="128" t="s">
        <v>153</v>
      </c>
      <c r="E130" s="213"/>
      <c r="F130" s="213"/>
      <c r="G130" s="213"/>
      <c r="H130" s="213"/>
      <c r="I130" s="213"/>
      <c r="J130" s="213"/>
      <c r="K130" s="212"/>
      <c r="L130" s="104"/>
      <c r="M130" s="83">
        <v>5</v>
      </c>
      <c r="N130" s="47" t="str">
        <f>IF(L130="NA","",
IF(L130="Yes",5,
IF(L130="Partial",4,
IF(L130="In Progress",3,
IF(L130="Not clarified",2,
IF(L130="No",0,""))))))</f>
        <v/>
      </c>
      <c r="O130" s="47" t="str">
        <f>IF(N130="","",N130*M130)</f>
        <v/>
      </c>
      <c r="P130" s="227"/>
      <c r="Q130" s="231"/>
      <c r="R130" s="219"/>
      <c r="S130" s="220"/>
    </row>
    <row r="131" spans="1:19" ht="14.45" customHeight="1">
      <c r="A131" s="222"/>
      <c r="B131" s="222"/>
      <c r="C131" s="4"/>
      <c r="D131" s="122"/>
      <c r="E131" s="213"/>
      <c r="F131" s="213"/>
      <c r="G131" s="213"/>
      <c r="H131" s="213"/>
      <c r="I131" s="213"/>
      <c r="J131" s="213"/>
      <c r="K131" s="212"/>
      <c r="L131" s="2"/>
      <c r="M131" s="47"/>
      <c r="N131" s="47"/>
      <c r="O131" s="47"/>
      <c r="P131" s="54"/>
      <c r="Q131" s="228"/>
      <c r="R131" s="213"/>
      <c r="S131" s="212"/>
    </row>
    <row r="132" spans="1:19" ht="14.45" customHeight="1">
      <c r="A132" s="222"/>
      <c r="B132" s="222"/>
      <c r="C132" s="129" t="s">
        <v>154</v>
      </c>
      <c r="D132" s="122" t="s">
        <v>155</v>
      </c>
      <c r="E132" s="213"/>
      <c r="F132" s="213"/>
      <c r="G132" s="213"/>
      <c r="H132" s="213"/>
      <c r="I132" s="213"/>
      <c r="J132" s="213"/>
      <c r="K132" s="212"/>
      <c r="L132" s="2"/>
      <c r="M132" s="83">
        <v>5</v>
      </c>
      <c r="N132" s="47" t="str">
        <f>IF(L132="NA","",
IF(L132="Yes",5,
IF(L132="Partial",4,
IF(L132="In Progress",3,
IF(L132="Not clarified",2,
IF(L132="No",0,""))))))</f>
        <v/>
      </c>
      <c r="O132" s="47" t="str">
        <f>IF(N132="","",N132*M132)</f>
        <v/>
      </c>
      <c r="P132" s="127" t="str">
        <f>IFERROR(AVERAGE(O132:O137),"")</f>
        <v/>
      </c>
      <c r="Q132" s="121"/>
      <c r="R132" s="213"/>
      <c r="S132" s="212"/>
    </row>
    <row r="133" spans="1:19" ht="14.45" customHeight="1">
      <c r="A133" s="222"/>
      <c r="B133" s="222"/>
      <c r="C133" s="222"/>
      <c r="D133" s="122" t="s">
        <v>156</v>
      </c>
      <c r="E133" s="213"/>
      <c r="F133" s="213"/>
      <c r="G133" s="213"/>
      <c r="H133" s="213"/>
      <c r="I133" s="213"/>
      <c r="J133" s="213"/>
      <c r="K133" s="212"/>
      <c r="L133" s="2"/>
      <c r="M133" s="83">
        <v>5</v>
      </c>
      <c r="N133" s="47" t="str">
        <f>IF(L133="NA","",
IF(L133="Yes",5,
IF(L133="Partial",4,
IF(L133="In Progress",3,
IF(L133="Not clarified",2,
IF(L133="No",0,""))))))</f>
        <v/>
      </c>
      <c r="O133" s="47" t="str">
        <f>IF(N133="","",N133*M133)</f>
        <v/>
      </c>
      <c r="P133" s="223"/>
      <c r="Q133" s="228"/>
      <c r="R133" s="213"/>
      <c r="S133" s="212"/>
    </row>
    <row r="134" spans="1:19" ht="14.45" customHeight="1">
      <c r="A134" s="222"/>
      <c r="B134" s="222"/>
      <c r="C134" s="222"/>
      <c r="D134" s="122" t="s">
        <v>157</v>
      </c>
      <c r="E134" s="213"/>
      <c r="F134" s="213"/>
      <c r="G134" s="213"/>
      <c r="H134" s="213"/>
      <c r="I134" s="213"/>
      <c r="J134" s="213"/>
      <c r="K134" s="212"/>
      <c r="L134" s="2"/>
      <c r="M134" s="83">
        <v>4</v>
      </c>
      <c r="N134" s="47" t="str">
        <f>IF(L134="NA","",
IF(L134="Yes",5,
IF(L134="Partial",4,
IF(L134="In Progress",3,
IF(L134="Not clarified",2,
IF(L134="No",0,""))))))</f>
        <v/>
      </c>
      <c r="O134" s="47" t="str">
        <f>IF(N134="","",N134*M134)</f>
        <v/>
      </c>
      <c r="P134" s="223"/>
      <c r="Q134" s="121"/>
      <c r="R134" s="213"/>
      <c r="S134" s="212"/>
    </row>
    <row r="135" spans="1:19" ht="14.45" customHeight="1">
      <c r="A135" s="222"/>
      <c r="B135" s="222"/>
      <c r="C135" s="222"/>
      <c r="D135" s="122" t="s">
        <v>158</v>
      </c>
      <c r="E135" s="213"/>
      <c r="F135" s="213"/>
      <c r="G135" s="213"/>
      <c r="H135" s="213"/>
      <c r="I135" s="213"/>
      <c r="J135" s="213"/>
      <c r="K135" s="212"/>
      <c r="L135" s="2"/>
      <c r="M135" s="83">
        <v>5</v>
      </c>
      <c r="N135" s="47" t="str">
        <f>IF(L135="NA","",
IF(L135="Yes",5,
IF(L135="Partial",4,
IF(L135="In Progress",3,
IF(L135="Not clarified",2,
IF(L135="No",0,""))))))</f>
        <v/>
      </c>
      <c r="O135" s="47" t="str">
        <f>IF(N135="","",N135*M135)</f>
        <v/>
      </c>
      <c r="P135" s="223"/>
      <c r="Q135" s="121"/>
      <c r="R135" s="213"/>
      <c r="S135" s="212"/>
    </row>
    <row r="136" spans="1:19" ht="14.45" customHeight="1">
      <c r="A136" s="222"/>
      <c r="B136" s="222"/>
      <c r="C136" s="222"/>
      <c r="D136" s="122" t="s">
        <v>159</v>
      </c>
      <c r="E136" s="213"/>
      <c r="F136" s="213"/>
      <c r="G136" s="213"/>
      <c r="H136" s="213"/>
      <c r="I136" s="213"/>
      <c r="J136" s="213"/>
      <c r="K136" s="212"/>
      <c r="L136" s="2"/>
      <c r="M136" s="83">
        <v>4</v>
      </c>
      <c r="N136" s="47" t="str">
        <f>IF(L136="NA","",
IF(L136="Yes",5,
IF(L136="Partial",4,
IF(L136="In Progress",3,
IF(L136="Not clarified",2,
IF(L136="No",0,""))))))</f>
        <v/>
      </c>
      <c r="O136" s="47" t="str">
        <f>IF(N136="","",N136*M136)</f>
        <v/>
      </c>
      <c r="P136" s="223"/>
      <c r="Q136" s="121"/>
      <c r="R136" s="213"/>
      <c r="S136" s="212"/>
    </row>
    <row r="137" spans="1:19" ht="14.45" customHeight="1">
      <c r="A137" s="226"/>
      <c r="B137" s="226"/>
      <c r="C137" s="226"/>
      <c r="D137" s="122" t="s">
        <v>160</v>
      </c>
      <c r="E137" s="213"/>
      <c r="F137" s="213"/>
      <c r="G137" s="213"/>
      <c r="H137" s="213"/>
      <c r="I137" s="213"/>
      <c r="J137" s="213"/>
      <c r="K137" s="212"/>
      <c r="L137" s="2"/>
      <c r="M137" s="83">
        <v>3</v>
      </c>
      <c r="N137" s="47" t="str">
        <f>IF(L137="NA","",
IF(L137="Yes",5,
IF(L137="Partial",4,
IF(L137="In Progress",3,
IF(L137="Not clarified",2,
IF(L137="No",0,""))))))</f>
        <v/>
      </c>
      <c r="O137" s="47" t="str">
        <f>IF(N137="","",N137*M137)</f>
        <v/>
      </c>
      <c r="P137" s="227"/>
      <c r="Q137" s="121"/>
      <c r="R137" s="213"/>
      <c r="S137" s="212"/>
    </row>
    <row r="138" spans="1:19" ht="14.45" customHeight="1">
      <c r="A138" s="59"/>
      <c r="B138" s="4"/>
      <c r="C138" s="4"/>
      <c r="D138" s="238"/>
      <c r="E138" s="213"/>
      <c r="F138" s="213"/>
      <c r="G138" s="213"/>
      <c r="H138" s="213"/>
      <c r="I138" s="213"/>
      <c r="J138" s="213"/>
      <c r="K138" s="212"/>
      <c r="L138" s="2"/>
      <c r="M138" s="47"/>
      <c r="N138" s="47" t="str">
        <f>IF(L138="NA","",
IF(L138="Yes",5,
IF(L138="Partial",4,
IF(L138="In Progress",3,
IF(L138="Not clarified",2,
IF(L138="No",0,""))))))</f>
        <v/>
      </c>
      <c r="O138" s="47" t="str">
        <f>IF(N138="","",N138*M138)</f>
        <v/>
      </c>
      <c r="P138" s="54"/>
      <c r="Q138" s="228"/>
      <c r="R138" s="213"/>
      <c r="S138" s="212"/>
    </row>
    <row r="139" spans="1:19" ht="14.45" customHeight="1">
      <c r="A139" s="130">
        <v>9</v>
      </c>
      <c r="B139" s="129" t="s">
        <v>161</v>
      </c>
      <c r="C139" s="129" t="s">
        <v>161</v>
      </c>
      <c r="D139" s="122" t="s">
        <v>162</v>
      </c>
      <c r="E139" s="213"/>
      <c r="F139" s="213"/>
      <c r="G139" s="213"/>
      <c r="H139" s="213"/>
      <c r="I139" s="213"/>
      <c r="J139" s="213"/>
      <c r="K139" s="212"/>
      <c r="L139" s="2"/>
      <c r="M139" s="83">
        <v>5</v>
      </c>
      <c r="N139" s="47" t="str">
        <f>IF(L139="NA","",
IF(L139="Yes",5,
IF(L139="Partial",4,
IF(L139="In Progress",3,
IF(L139="Not clarified",2,
IF(L139="No",0,""))))))</f>
        <v/>
      </c>
      <c r="O139" s="47" t="str">
        <f>IF(N139="","",N139*M139)</f>
        <v/>
      </c>
      <c r="P139" s="127" t="str">
        <f>IFERROR(AVERAGE(O139:O153),"")</f>
        <v/>
      </c>
      <c r="Q139" s="125"/>
      <c r="R139" s="229"/>
      <c r="S139" s="230"/>
    </row>
    <row r="140" spans="1:19" ht="14.45" customHeight="1">
      <c r="A140" s="222"/>
      <c r="B140" s="222"/>
      <c r="C140" s="222"/>
      <c r="D140" s="122" t="s">
        <v>163</v>
      </c>
      <c r="E140" s="213"/>
      <c r="F140" s="213"/>
      <c r="G140" s="213"/>
      <c r="H140" s="213"/>
      <c r="I140" s="213"/>
      <c r="J140" s="213"/>
      <c r="K140" s="212"/>
      <c r="L140" s="2"/>
      <c r="M140" s="83">
        <v>5</v>
      </c>
      <c r="N140" s="47" t="str">
        <f>IF(L140="NA","",
IF(L140="Yes",5,
IF(L140="Partial",4,
IF(L140="In Progress",3,
IF(L140="Not clarified",2,
IF(L140="No",0,""))))))</f>
        <v/>
      </c>
      <c r="O140" s="47" t="str">
        <f>IF(N140="","",N140*M140)</f>
        <v/>
      </c>
      <c r="P140" s="223"/>
      <c r="Q140" s="231"/>
      <c r="R140" s="219"/>
      <c r="S140" s="220"/>
    </row>
    <row r="141" spans="1:19" ht="14.45" customHeight="1">
      <c r="A141" s="222"/>
      <c r="B141" s="222"/>
      <c r="C141" s="222"/>
      <c r="D141" s="146" t="s">
        <v>164</v>
      </c>
      <c r="E141" s="213"/>
      <c r="F141" s="213"/>
      <c r="G141" s="213"/>
      <c r="H141" s="213"/>
      <c r="I141" s="213"/>
      <c r="J141" s="213"/>
      <c r="K141" s="212"/>
      <c r="L141" s="2"/>
      <c r="M141" s="83">
        <v>4</v>
      </c>
      <c r="N141" s="47" t="str">
        <f>IF(L141="NA","",
IF(L141="Yes",5,
IF(L141="Partial",4,
IF(L141="In Progress",3,
IF(L141="Not clarified",2,
IF(L141="No",0,""))))))</f>
        <v/>
      </c>
      <c r="O141" s="47" t="str">
        <f>IF(N141="","",N141*M141)</f>
        <v/>
      </c>
      <c r="P141" s="223"/>
      <c r="Q141" s="141"/>
      <c r="R141" s="213"/>
      <c r="S141" s="212"/>
    </row>
    <row r="142" spans="1:19" ht="14.45" customHeight="1">
      <c r="A142" s="222"/>
      <c r="B142" s="222"/>
      <c r="C142" s="222"/>
      <c r="D142" s="122" t="s">
        <v>165</v>
      </c>
      <c r="E142" s="213"/>
      <c r="F142" s="213"/>
      <c r="G142" s="213"/>
      <c r="H142" s="213"/>
      <c r="I142" s="213"/>
      <c r="J142" s="213"/>
      <c r="K142" s="212"/>
      <c r="L142" s="2"/>
      <c r="M142" s="83">
        <v>5</v>
      </c>
      <c r="N142" s="47" t="str">
        <f>IF(L142="NA","",
IF(L142="Yes",5,
IF(L142="Partial",4,
IF(L142="In Progress",3,
IF(L142="Not clarified",2,
IF(L142="No",0,""))))))</f>
        <v/>
      </c>
      <c r="O142" s="47" t="str">
        <f>IF(N142="","",N142*M142)</f>
        <v/>
      </c>
      <c r="P142" s="223"/>
      <c r="Q142" s="121"/>
      <c r="R142" s="213"/>
      <c r="S142" s="212"/>
    </row>
    <row r="143" spans="1:19" ht="14.45" customHeight="1">
      <c r="A143" s="222"/>
      <c r="B143" s="222"/>
      <c r="C143" s="222"/>
      <c r="D143" s="122" t="s">
        <v>166</v>
      </c>
      <c r="E143" s="213"/>
      <c r="F143" s="213"/>
      <c r="G143" s="213"/>
      <c r="H143" s="213"/>
      <c r="I143" s="213"/>
      <c r="J143" s="213"/>
      <c r="K143" s="212"/>
      <c r="L143" s="2"/>
      <c r="M143" s="83">
        <v>5</v>
      </c>
      <c r="N143" s="47" t="str">
        <f>IF(L143="NA","",
IF(L143="Yes",5,
IF(L143="Partial",4,
IF(L143="In Progress",3,
IF(L143="Not clarified",2,
IF(L143="No",0,""))))))</f>
        <v/>
      </c>
      <c r="O143" s="47" t="str">
        <f>IF(N143="","",N143*M143)</f>
        <v/>
      </c>
      <c r="P143" s="223"/>
      <c r="Q143" s="121"/>
      <c r="R143" s="213"/>
      <c r="S143" s="212"/>
    </row>
    <row r="144" spans="1:19" ht="14.45" customHeight="1">
      <c r="A144" s="222"/>
      <c r="B144" s="222"/>
      <c r="C144" s="222"/>
      <c r="D144" s="122" t="s">
        <v>167</v>
      </c>
      <c r="E144" s="213"/>
      <c r="F144" s="213"/>
      <c r="G144" s="213"/>
      <c r="H144" s="213"/>
      <c r="I144" s="213"/>
      <c r="J144" s="213"/>
      <c r="K144" s="212"/>
      <c r="L144" s="2"/>
      <c r="M144" s="83">
        <v>5</v>
      </c>
      <c r="N144" s="47" t="str">
        <f>IF(L144="NA","",
IF(L144="Yes",5,
IF(L144="Partial",4,
IF(L144="In Progress",3,
IF(L144="Not clarified",2,
IF(L144="No",0,""))))))</f>
        <v/>
      </c>
      <c r="O144" s="47" t="str">
        <f>IF(N144="","",N144*M144)</f>
        <v/>
      </c>
      <c r="P144" s="223"/>
      <c r="Q144" s="121"/>
      <c r="R144" s="213"/>
      <c r="S144" s="212"/>
    </row>
    <row r="145" spans="1:19" ht="14.45" customHeight="1">
      <c r="A145" s="222"/>
      <c r="B145" s="222"/>
      <c r="C145" s="222"/>
      <c r="D145" s="122" t="s">
        <v>168</v>
      </c>
      <c r="E145" s="213"/>
      <c r="F145" s="213"/>
      <c r="G145" s="213"/>
      <c r="H145" s="213"/>
      <c r="I145" s="213"/>
      <c r="J145" s="213"/>
      <c r="K145" s="212"/>
      <c r="L145" s="2"/>
      <c r="M145" s="83">
        <v>4</v>
      </c>
      <c r="N145" s="47" t="str">
        <f>IF(L145="NA","",
IF(L145="Yes",5,
IF(L145="Partial",4,
IF(L145="In Progress",3,
IF(L145="Not clarified",2,
IF(L145="No",0,""))))))</f>
        <v/>
      </c>
      <c r="O145" s="47" t="str">
        <f>IF(N145="","",N145*M145)</f>
        <v/>
      </c>
      <c r="P145" s="223"/>
      <c r="Q145" s="121"/>
      <c r="R145" s="213"/>
      <c r="S145" s="212"/>
    </row>
    <row r="146" spans="1:19" ht="14.45" customHeight="1">
      <c r="A146" s="222"/>
      <c r="B146" s="222"/>
      <c r="C146" s="222"/>
      <c r="D146" s="122" t="s">
        <v>169</v>
      </c>
      <c r="E146" s="213"/>
      <c r="F146" s="213"/>
      <c r="G146" s="213"/>
      <c r="H146" s="213"/>
      <c r="I146" s="213"/>
      <c r="J146" s="213"/>
      <c r="K146" s="212"/>
      <c r="L146" s="2"/>
      <c r="M146" s="83">
        <v>5</v>
      </c>
      <c r="N146" s="47" t="str">
        <f>IF(L146="NA","",
IF(L146="Yes",5,
IF(L146="Partial",4,
IF(L146="In Progress",3,
IF(L146="Not clarified",2,
IF(L146="No",0,""))))))</f>
        <v/>
      </c>
      <c r="O146" s="47" t="str">
        <f>IF(N146="","",N146*M146)</f>
        <v/>
      </c>
      <c r="P146" s="223"/>
      <c r="Q146" s="121"/>
      <c r="R146" s="213"/>
      <c r="S146" s="212"/>
    </row>
    <row r="147" spans="1:19" ht="14.45" customHeight="1">
      <c r="A147" s="222"/>
      <c r="B147" s="222"/>
      <c r="C147" s="222"/>
      <c r="D147" s="122" t="s">
        <v>170</v>
      </c>
      <c r="E147" s="213"/>
      <c r="F147" s="213"/>
      <c r="G147" s="213"/>
      <c r="H147" s="213"/>
      <c r="I147" s="213"/>
      <c r="J147" s="213"/>
      <c r="K147" s="212"/>
      <c r="L147" s="2"/>
      <c r="M147" s="83">
        <v>5</v>
      </c>
      <c r="N147" s="47" t="str">
        <f>IF(L147="NA","",
IF(L147="Yes",5,
IF(L147="Partial",4,
IF(L147="In Progress",3,
IF(L147="Not clarified",2,
IF(L147="No",0,""))))))</f>
        <v/>
      </c>
      <c r="O147" s="47" t="str">
        <f>IF(N147="","",N147*M147)</f>
        <v/>
      </c>
      <c r="P147" s="223"/>
      <c r="Q147" s="121"/>
      <c r="R147" s="213"/>
      <c r="S147" s="212"/>
    </row>
    <row r="148" spans="1:19" ht="14.45" customHeight="1">
      <c r="A148" s="222"/>
      <c r="B148" s="222"/>
      <c r="C148" s="222"/>
      <c r="D148" s="122" t="s">
        <v>171</v>
      </c>
      <c r="E148" s="213"/>
      <c r="F148" s="213"/>
      <c r="G148" s="213"/>
      <c r="H148" s="213"/>
      <c r="I148" s="213"/>
      <c r="J148" s="213"/>
      <c r="K148" s="212"/>
      <c r="L148" s="2"/>
      <c r="M148" s="83">
        <v>4</v>
      </c>
      <c r="N148" s="47" t="str">
        <f>IF(L148="NA","",
IF(L148="Yes",5,
IF(L148="Partial",4,
IF(L148="In Progress",3,
IF(L148="Not clarified",2,
IF(L148="No",0,""))))))</f>
        <v/>
      </c>
      <c r="O148" s="47" t="str">
        <f>IF(N148="","",N148*M148)</f>
        <v/>
      </c>
      <c r="P148" s="223"/>
      <c r="Q148" s="121"/>
      <c r="R148" s="213"/>
      <c r="S148" s="212"/>
    </row>
    <row r="149" spans="1:19" s="72" customFormat="1" ht="44.1" customHeight="1">
      <c r="A149" s="222"/>
      <c r="B149" s="222"/>
      <c r="C149" s="222"/>
      <c r="D149" s="128" t="s">
        <v>172</v>
      </c>
      <c r="E149" s="213"/>
      <c r="F149" s="213"/>
      <c r="G149" s="213"/>
      <c r="H149" s="213"/>
      <c r="I149" s="213"/>
      <c r="J149" s="213"/>
      <c r="K149" s="212"/>
      <c r="L149" s="104"/>
      <c r="M149" s="83">
        <v>4</v>
      </c>
      <c r="N149" s="47" t="str">
        <f>IF(L149="NA","",
IF(L149="Yes",5,
IF(L149="Partial",4,
IF(L149="In Progress",3,
IF(L149="Not clarified",2,
IF(L149="No",0,""))))))</f>
        <v/>
      </c>
      <c r="O149" s="47" t="str">
        <f>IF(N149="","",N149*M149)</f>
        <v/>
      </c>
      <c r="P149" s="223"/>
      <c r="Q149" s="142"/>
      <c r="R149" s="213"/>
      <c r="S149" s="212"/>
    </row>
    <row r="150" spans="1:19" ht="14.45" customHeight="1">
      <c r="A150" s="222"/>
      <c r="B150" s="222"/>
      <c r="C150" s="222"/>
      <c r="D150" s="122" t="s">
        <v>173</v>
      </c>
      <c r="E150" s="213"/>
      <c r="F150" s="213"/>
      <c r="G150" s="213"/>
      <c r="H150" s="213"/>
      <c r="I150" s="213"/>
      <c r="J150" s="213"/>
      <c r="K150" s="212"/>
      <c r="L150" s="2"/>
      <c r="M150" s="83">
        <v>5</v>
      </c>
      <c r="N150" s="47" t="str">
        <f>IF(L150="NA","",
IF(L150="Yes",5,
IF(L150="Partial",4,
IF(L150="In Progress",3,
IF(L150="Not clarified",2,
IF(L150="No",0,""))))))</f>
        <v/>
      </c>
      <c r="O150" s="47" t="str">
        <f>IF(N150="","",N150*M150)</f>
        <v/>
      </c>
      <c r="P150" s="223"/>
      <c r="Q150" s="121"/>
      <c r="R150" s="213"/>
      <c r="S150" s="212"/>
    </row>
    <row r="151" spans="1:19" ht="14.45" customHeight="1">
      <c r="A151" s="222"/>
      <c r="B151" s="222"/>
      <c r="C151" s="222"/>
      <c r="D151" s="122" t="s">
        <v>174</v>
      </c>
      <c r="E151" s="213"/>
      <c r="F151" s="213"/>
      <c r="G151" s="213"/>
      <c r="H151" s="213"/>
      <c r="I151" s="213"/>
      <c r="J151" s="213"/>
      <c r="K151" s="212"/>
      <c r="L151" s="2"/>
      <c r="M151" s="83">
        <v>3</v>
      </c>
      <c r="N151" s="47" t="str">
        <f>IF(L151="NA","",
IF(L151="Yes",5,
IF(L151="Partial",4,
IF(L151="In Progress",3,
IF(L151="Not clarified",2,
IF(L151="No",0,""))))))</f>
        <v/>
      </c>
      <c r="O151" s="47" t="str">
        <f>IF(N151="","",N151*M151)</f>
        <v/>
      </c>
      <c r="P151" s="223"/>
      <c r="Q151" s="121"/>
      <c r="R151" s="213"/>
      <c r="S151" s="212"/>
    </row>
    <row r="152" spans="1:19" ht="14.45" customHeight="1">
      <c r="A152" s="222"/>
      <c r="B152" s="222"/>
      <c r="C152" s="222"/>
      <c r="D152" s="123" t="s">
        <v>175</v>
      </c>
      <c r="E152" s="213"/>
      <c r="F152" s="213"/>
      <c r="G152" s="213"/>
      <c r="H152" s="213"/>
      <c r="I152" s="213"/>
      <c r="J152" s="213"/>
      <c r="K152" s="212"/>
      <c r="L152" s="2"/>
      <c r="M152" s="83">
        <v>4</v>
      </c>
      <c r="N152" s="47" t="str">
        <f>IF(L152="NA","",
IF(L152="Yes",5,
IF(L152="Partial",4,
IF(L152="In Progress",3,
IF(L152="Not clarified",2,
IF(L152="No",0,""))))))</f>
        <v/>
      </c>
      <c r="O152" s="47" t="str">
        <f>IF(N152="","",N152*M152)</f>
        <v/>
      </c>
      <c r="P152" s="223"/>
      <c r="Q152" s="121"/>
      <c r="R152" s="213"/>
      <c r="S152" s="212"/>
    </row>
    <row r="153" spans="1:19" ht="14.45" customHeight="1">
      <c r="A153" s="222"/>
      <c r="B153" s="222"/>
      <c r="C153" s="226"/>
      <c r="D153" s="122" t="s">
        <v>176</v>
      </c>
      <c r="E153" s="213"/>
      <c r="F153" s="213"/>
      <c r="G153" s="213"/>
      <c r="H153" s="213"/>
      <c r="I153" s="213"/>
      <c r="J153" s="213"/>
      <c r="K153" s="212"/>
      <c r="L153" s="2"/>
      <c r="M153" s="83">
        <v>4</v>
      </c>
      <c r="N153" s="47" t="str">
        <f>IF(L153="NA","",
IF(L153="Yes",5,
IF(L153="Partial",4,
IF(L153="In Progress",3,
IF(L153="Not clarified",2,
IF(L153="No",0,""))))))</f>
        <v/>
      </c>
      <c r="O153" s="47" t="str">
        <f>IF(N153="","",N153*M153)</f>
        <v/>
      </c>
      <c r="P153" s="227"/>
      <c r="Q153" s="121"/>
      <c r="R153" s="213"/>
      <c r="S153" s="212"/>
    </row>
    <row r="154" spans="1:19" ht="14.45" customHeight="1">
      <c r="A154" s="222"/>
      <c r="B154" s="222"/>
      <c r="C154" s="4"/>
      <c r="D154" s="123"/>
      <c r="E154" s="213"/>
      <c r="F154" s="213"/>
      <c r="G154" s="213"/>
      <c r="H154" s="213"/>
      <c r="I154" s="213"/>
      <c r="J154" s="213"/>
      <c r="K154" s="212"/>
      <c r="L154" s="2"/>
      <c r="M154" s="47"/>
      <c r="N154" s="47" t="str">
        <f>IF(L154="NA","",
IF(L154="Yes",5,
IF(L154="Partial",4,
IF(L154="In Progress",3,
IF(L154="Not clarified",2,
IF(L154="No",0,""))))))</f>
        <v/>
      </c>
      <c r="O154" s="47" t="str">
        <f>IF(N154="","",N154*M154)</f>
        <v/>
      </c>
      <c r="P154" s="103"/>
      <c r="Q154" s="228"/>
      <c r="R154" s="213"/>
      <c r="S154" s="212"/>
    </row>
    <row r="155" spans="1:19" ht="14.45" customHeight="1">
      <c r="A155" s="222"/>
      <c r="B155" s="222"/>
      <c r="C155" s="129" t="s">
        <v>177</v>
      </c>
      <c r="D155" s="123" t="s">
        <v>178</v>
      </c>
      <c r="E155" s="213"/>
      <c r="F155" s="213"/>
      <c r="G155" s="213"/>
      <c r="H155" s="213"/>
      <c r="I155" s="213"/>
      <c r="J155" s="213"/>
      <c r="K155" s="212"/>
      <c r="L155" s="2"/>
      <c r="M155" s="83">
        <v>5</v>
      </c>
      <c r="N155" s="47" t="str">
        <f>IF(L155="NA","",
IF(L155="Yes",5,
IF(L155="Partial",4,
IF(L155="In Progress",3,
IF(L155="Not clarified",2,
IF(L155="No",0,""))))))</f>
        <v/>
      </c>
      <c r="O155" s="47" t="str">
        <f>IF(N155="","",N155*M155)</f>
        <v/>
      </c>
      <c r="P155" s="127" t="str">
        <f>IFERROR(AVERAGE(O155:O160),"")</f>
        <v/>
      </c>
      <c r="Q155" s="121"/>
      <c r="R155" s="213"/>
      <c r="S155" s="212"/>
    </row>
    <row r="156" spans="1:19" ht="14.45" customHeight="1">
      <c r="A156" s="222"/>
      <c r="B156" s="222"/>
      <c r="C156" s="222"/>
      <c r="D156" s="123" t="s">
        <v>179</v>
      </c>
      <c r="E156" s="213"/>
      <c r="F156" s="213"/>
      <c r="G156" s="213"/>
      <c r="H156" s="213"/>
      <c r="I156" s="213"/>
      <c r="J156" s="213"/>
      <c r="K156" s="212"/>
      <c r="L156" s="2"/>
      <c r="M156" s="83">
        <v>5</v>
      </c>
      <c r="N156" s="47" t="str">
        <f>IF(L156="NA","",
IF(L156="Yes",5,
IF(L156="Partial",4,
IF(L156="In Progress",3,
IF(L156="Not clarified",2,
IF(L156="No",0,""))))))</f>
        <v/>
      </c>
      <c r="O156" s="47" t="str">
        <f>IF(N156="","",N156*M156)</f>
        <v/>
      </c>
      <c r="P156" s="223"/>
      <c r="Q156" s="121"/>
      <c r="R156" s="213"/>
      <c r="S156" s="212"/>
    </row>
    <row r="157" spans="1:19" ht="14.45" customHeight="1">
      <c r="A157" s="222"/>
      <c r="B157" s="222"/>
      <c r="C157" s="222"/>
      <c r="D157" s="123" t="s">
        <v>180</v>
      </c>
      <c r="E157" s="213"/>
      <c r="F157" s="213"/>
      <c r="G157" s="213"/>
      <c r="H157" s="213"/>
      <c r="I157" s="213"/>
      <c r="J157" s="213"/>
      <c r="K157" s="212"/>
      <c r="L157" s="2"/>
      <c r="M157" s="83">
        <v>5</v>
      </c>
      <c r="N157" s="47" t="str">
        <f>IF(L157="NA","",
IF(L157="Yes",5,
IF(L157="Partial",4,
IF(L157="In Progress",3,
IF(L157="Not clarified",2,
IF(L157="No",0,""))))))</f>
        <v/>
      </c>
      <c r="O157" s="47" t="str">
        <f>IF(N157="","",N157*M157)</f>
        <v/>
      </c>
      <c r="P157" s="223"/>
      <c r="Q157" s="121"/>
      <c r="R157" s="213"/>
      <c r="S157" s="212"/>
    </row>
    <row r="158" spans="1:19" ht="14.45" customHeight="1">
      <c r="A158" s="222"/>
      <c r="B158" s="222"/>
      <c r="C158" s="222"/>
      <c r="D158" s="123" t="s">
        <v>181</v>
      </c>
      <c r="E158" s="213"/>
      <c r="F158" s="213"/>
      <c r="G158" s="213"/>
      <c r="H158" s="213"/>
      <c r="I158" s="213"/>
      <c r="J158" s="213"/>
      <c r="K158" s="212"/>
      <c r="L158" s="2"/>
      <c r="M158" s="83">
        <v>4</v>
      </c>
      <c r="N158" s="47" t="str">
        <f>IF(L158="NA","",
IF(L158="Yes",5,
IF(L158="Partial",4,
IF(L158="In Progress",3,
IF(L158="Not clarified",2,
IF(L158="No",0,""))))))</f>
        <v/>
      </c>
      <c r="O158" s="47" t="str">
        <f>IF(N158="","",N158*M158)</f>
        <v/>
      </c>
      <c r="P158" s="223"/>
      <c r="Q158" s="121"/>
      <c r="R158" s="213"/>
      <c r="S158" s="212"/>
    </row>
    <row r="159" spans="1:19" ht="14.45" customHeight="1">
      <c r="A159" s="222"/>
      <c r="B159" s="222"/>
      <c r="C159" s="222"/>
      <c r="D159" s="124" t="s">
        <v>182</v>
      </c>
      <c r="E159" s="213"/>
      <c r="F159" s="213"/>
      <c r="G159" s="213"/>
      <c r="H159" s="213"/>
      <c r="I159" s="213"/>
      <c r="J159" s="213"/>
      <c r="K159" s="212"/>
      <c r="L159" s="2"/>
      <c r="M159" s="83">
        <v>5</v>
      </c>
      <c r="N159" s="47" t="str">
        <f>IF(L159="NA","",
IF(L159="Yes",5,
IF(L159="Partial",4,
IF(L159="In Progress",3,
IF(L159="Not clarified",2,
IF(L159="No",0,""))))))</f>
        <v/>
      </c>
      <c r="O159" s="47" t="str">
        <f>IF(N159="","",N159*M159)</f>
        <v/>
      </c>
      <c r="P159" s="223"/>
      <c r="Q159" s="121"/>
      <c r="R159" s="213"/>
      <c r="S159" s="212"/>
    </row>
    <row r="160" spans="1:19" s="19" customFormat="1" ht="14.45" customHeight="1">
      <c r="A160" s="222"/>
      <c r="B160" s="222"/>
      <c r="C160" s="222"/>
      <c r="D160" s="156" t="s">
        <v>183</v>
      </c>
      <c r="E160" s="213"/>
      <c r="F160" s="213"/>
      <c r="G160" s="213"/>
      <c r="H160" s="213"/>
      <c r="I160" s="213"/>
      <c r="J160" s="213"/>
      <c r="K160" s="212"/>
      <c r="L160" s="2"/>
      <c r="M160" s="83">
        <v>5</v>
      </c>
      <c r="N160" s="47" t="str">
        <f>IF(L160="NA","",
IF(L160="Yes",5,
IF(L160="Partial",4,
IF(L160="In Progress",3,
IF(L160="Not clarified",2,
IF(L160="No",0,""))))))</f>
        <v/>
      </c>
      <c r="O160" s="47" t="str">
        <f>IF(N160="","",N160*M160)</f>
        <v/>
      </c>
      <c r="P160" s="223"/>
      <c r="Q160" s="42"/>
      <c r="R160" s="42"/>
      <c r="S160" s="43"/>
    </row>
    <row r="161" spans="1:19" s="19" customFormat="1" ht="14.45" customHeight="1">
      <c r="A161" s="222"/>
      <c r="B161" s="222"/>
      <c r="C161" s="226"/>
      <c r="D161" s="237" t="s">
        <v>184</v>
      </c>
      <c r="E161" s="213"/>
      <c r="F161" s="213"/>
      <c r="G161" s="213"/>
      <c r="H161" s="213"/>
      <c r="I161" s="213"/>
      <c r="J161" s="213"/>
      <c r="K161" s="212"/>
      <c r="L161" s="2"/>
      <c r="M161" s="83">
        <v>4</v>
      </c>
      <c r="N161" s="47" t="str">
        <f>IF(L161="NA","",
IF(L161="Yes",5,
IF(L161="Partial",4,
IF(L161="In Progress",3,
IF(L161="Not clarified",2,
IF(L161="No",0,""))))))</f>
        <v/>
      </c>
      <c r="O161" s="47" t="str">
        <f>IF(N161="","",N161*M161)</f>
        <v/>
      </c>
      <c r="P161" s="227"/>
      <c r="Q161" s="42"/>
      <c r="R161" s="42"/>
      <c r="S161" s="43"/>
    </row>
    <row r="162" spans="1:19" s="19" customFormat="1" ht="14.45" customHeight="1">
      <c r="A162" s="222"/>
      <c r="B162" s="222"/>
      <c r="C162" s="22"/>
      <c r="D162" s="16"/>
      <c r="E162" s="17"/>
      <c r="F162" s="17"/>
      <c r="G162" s="17"/>
      <c r="H162" s="17"/>
      <c r="I162" s="17"/>
      <c r="J162" s="17"/>
      <c r="K162" s="18"/>
      <c r="L162" s="2"/>
      <c r="M162" s="47"/>
      <c r="N162" s="47" t="str">
        <f>IF(L162="NA","",
IF(L162="Yes",5,
IF(L162="Partial",4,
IF(L162="In Progress",3,
IF(L162="Not clarified",2,
IF(L162="No",0,""))))))</f>
        <v/>
      </c>
      <c r="O162" s="47" t="str">
        <f>IF(N162="","",N162*M162)</f>
        <v/>
      </c>
      <c r="P162" s="88"/>
      <c r="Q162" s="42"/>
      <c r="R162" s="42"/>
      <c r="S162" s="43"/>
    </row>
    <row r="163" spans="1:19" s="19" customFormat="1" ht="14.45" customHeight="1">
      <c r="A163" s="222"/>
      <c r="B163" s="222"/>
      <c r="C163" s="154" t="s">
        <v>185</v>
      </c>
      <c r="D163" s="122" t="s">
        <v>186</v>
      </c>
      <c r="E163" s="213"/>
      <c r="F163" s="213"/>
      <c r="G163" s="213"/>
      <c r="H163" s="213"/>
      <c r="I163" s="213"/>
      <c r="J163" s="213"/>
      <c r="K163" s="212"/>
      <c r="L163" s="2"/>
      <c r="M163" s="83">
        <v>5</v>
      </c>
      <c r="N163" s="47" t="str">
        <f>IF(L163="NA","",
IF(L163="Yes",5,
IF(L163="Partial",4,
IF(L163="In Progress",3,
IF(L163="Not clarified",2,
IF(L163="No",0,""))))))</f>
        <v/>
      </c>
      <c r="O163" s="47" t="str">
        <f>IF(N163="","",N163*M163)</f>
        <v/>
      </c>
      <c r="P163" s="127" t="str">
        <f>IFERROR(AVERAGE(O163:O168),"")</f>
        <v/>
      </c>
      <c r="Q163" s="160"/>
      <c r="R163" s="229"/>
      <c r="S163" s="230"/>
    </row>
    <row r="164" spans="1:19" s="19" customFormat="1" ht="14.45" customHeight="1">
      <c r="A164" s="222"/>
      <c r="B164" s="222"/>
      <c r="C164" s="222"/>
      <c r="D164" s="122" t="s">
        <v>187</v>
      </c>
      <c r="E164" s="213"/>
      <c r="F164" s="213"/>
      <c r="G164" s="213"/>
      <c r="H164" s="213"/>
      <c r="I164" s="213"/>
      <c r="J164" s="213"/>
      <c r="K164" s="212"/>
      <c r="L164" s="2"/>
      <c r="M164" s="83">
        <v>5</v>
      </c>
      <c r="N164" s="47" t="str">
        <f>IF(L164="NA","",
IF(L164="Yes",5,
IF(L164="Partial",4,
IF(L164="In Progress",3,
IF(L164="Not clarified",2,
IF(L164="No",0,""))))))</f>
        <v/>
      </c>
      <c r="O164" s="47" t="str">
        <f>IF(N164="","",N164*M164)</f>
        <v/>
      </c>
      <c r="P164" s="223"/>
      <c r="Q164" s="235"/>
      <c r="R164" s="239"/>
      <c r="S164" s="236"/>
    </row>
    <row r="165" spans="1:19" s="19" customFormat="1" ht="14.45" customHeight="1">
      <c r="A165" s="222"/>
      <c r="B165" s="222"/>
      <c r="C165" s="222"/>
      <c r="D165" s="122" t="s">
        <v>188</v>
      </c>
      <c r="E165" s="213"/>
      <c r="F165" s="213"/>
      <c r="G165" s="213"/>
      <c r="H165" s="213"/>
      <c r="I165" s="213"/>
      <c r="J165" s="213"/>
      <c r="K165" s="212"/>
      <c r="L165" s="2"/>
      <c r="M165" s="83">
        <v>5</v>
      </c>
      <c r="N165" s="47" t="str">
        <f>IF(L165="NA","",
IF(L165="Yes",5,
IF(L165="Partial",4,
IF(L165="In Progress",3,
IF(L165="Not clarified",2,
IF(L165="No",0,""))))))</f>
        <v/>
      </c>
      <c r="O165" s="47" t="str">
        <f>IF(N165="","",N165*M165)</f>
        <v/>
      </c>
      <c r="P165" s="223"/>
      <c r="Q165" s="235"/>
      <c r="R165" s="239"/>
      <c r="S165" s="236"/>
    </row>
    <row r="166" spans="1:19" s="19" customFormat="1" ht="14.45" customHeight="1">
      <c r="A166" s="222"/>
      <c r="B166" s="222"/>
      <c r="C166" s="222"/>
      <c r="D166" s="122" t="s">
        <v>189</v>
      </c>
      <c r="E166" s="213"/>
      <c r="F166" s="213"/>
      <c r="G166" s="213"/>
      <c r="H166" s="213"/>
      <c r="I166" s="213"/>
      <c r="J166" s="213"/>
      <c r="K166" s="212"/>
      <c r="L166" s="2"/>
      <c r="M166" s="83">
        <v>5</v>
      </c>
      <c r="N166" s="47" t="str">
        <f>IF(L166="NA","",
IF(L166="Yes",5,
IF(L166="Partial",4,
IF(L166="In Progress",3,
IF(L166="Not clarified",2,
IF(L166="No",0,""))))))</f>
        <v/>
      </c>
      <c r="O166" s="47" t="str">
        <f>IF(N166="","",N166*M166)</f>
        <v/>
      </c>
      <c r="P166" s="223"/>
      <c r="Q166" s="235"/>
      <c r="R166" s="239"/>
      <c r="S166" s="236"/>
    </row>
    <row r="167" spans="1:19" s="19" customFormat="1" ht="14.45" customHeight="1">
      <c r="A167" s="222"/>
      <c r="B167" s="222"/>
      <c r="C167" s="222"/>
      <c r="D167" s="122" t="s">
        <v>190</v>
      </c>
      <c r="E167" s="213"/>
      <c r="F167" s="213"/>
      <c r="G167" s="213"/>
      <c r="H167" s="213"/>
      <c r="I167" s="213"/>
      <c r="J167" s="213"/>
      <c r="K167" s="212"/>
      <c r="L167" s="2"/>
      <c r="M167" s="83">
        <v>4</v>
      </c>
      <c r="N167" s="47" t="str">
        <f>IF(L167="NA","",
IF(L167="Yes",5,
IF(L167="Partial",4,
IF(L167="In Progress",3,
IF(L167="Not clarified",2,
IF(L167="No",0,""))))))</f>
        <v/>
      </c>
      <c r="O167" s="47" t="str">
        <f>IF(N167="","",N167*M167)</f>
        <v/>
      </c>
      <c r="P167" s="223"/>
      <c r="Q167" s="235"/>
      <c r="R167" s="239"/>
      <c r="S167" s="236"/>
    </row>
    <row r="168" spans="1:19" s="19" customFormat="1" ht="14.45" customHeight="1">
      <c r="A168" s="226"/>
      <c r="B168" s="226"/>
      <c r="C168" s="226"/>
      <c r="D168" s="151" t="s">
        <v>191</v>
      </c>
      <c r="E168" s="213"/>
      <c r="F168" s="213"/>
      <c r="G168" s="213"/>
      <c r="H168" s="213"/>
      <c r="I168" s="213"/>
      <c r="J168" s="213"/>
      <c r="K168" s="212"/>
      <c r="L168" s="2"/>
      <c r="M168" s="83">
        <v>5</v>
      </c>
      <c r="N168" s="47" t="str">
        <f>IF(L168="NA","",
IF(L168="Yes",5,
IF(L168="Partial",4,
IF(L168="In Progress",3,
IF(L168="Not clarified",2,
IF(L168="No",0,""))))))</f>
        <v/>
      </c>
      <c r="O168" s="47" t="str">
        <f>IF(N168="","",N168*M168)</f>
        <v/>
      </c>
      <c r="P168" s="227"/>
      <c r="Q168" s="231"/>
      <c r="R168" s="219"/>
      <c r="S168" s="220"/>
    </row>
    <row r="169" spans="1:19" s="19" customFormat="1" ht="14.45" customHeight="1">
      <c r="A169" s="60"/>
      <c r="B169" s="22"/>
      <c r="C169" s="23"/>
      <c r="D169" s="190"/>
      <c r="E169" s="213"/>
      <c r="F169" s="213"/>
      <c r="G169" s="213"/>
      <c r="H169" s="213"/>
      <c r="I169" s="213"/>
      <c r="J169" s="213"/>
      <c r="K169" s="212"/>
      <c r="L169" s="2"/>
      <c r="M169" s="47"/>
      <c r="N169" s="47" t="str">
        <f>IF(L169="NA","",
IF(L169="Yes",5,
IF(L169="Partial",4,
IF(L169="In Progress",3,
IF(L169="Not clarified",2,
IF(L169="No",0,""))))))</f>
        <v/>
      </c>
      <c r="O169" s="47" t="str">
        <f>IF(N169="","",N169*M169)</f>
        <v/>
      </c>
      <c r="P169" s="54"/>
      <c r="Q169" s="42"/>
      <c r="R169" s="42"/>
      <c r="S169" s="43"/>
    </row>
    <row r="170" spans="1:19" s="19" customFormat="1" ht="14.45" customHeight="1">
      <c r="A170" s="60">
        <v>10</v>
      </c>
      <c r="B170" s="22"/>
      <c r="C170" s="93" t="s">
        <v>192</v>
      </c>
      <c r="D170" s="186" t="s">
        <v>193</v>
      </c>
      <c r="E170" s="213"/>
      <c r="F170" s="213"/>
      <c r="G170" s="213"/>
      <c r="H170" s="213"/>
      <c r="I170" s="213"/>
      <c r="J170" s="213"/>
      <c r="K170" s="212"/>
      <c r="L170" s="2"/>
      <c r="M170" s="83">
        <v>4</v>
      </c>
      <c r="N170" s="47" t="str">
        <f>IF(L170="NA","",
IF(L170="Yes",5,
IF(L170="Partial",4,
IF(L170="In Progress",3,
IF(L170="Not clarified",2,
IF(L170="No",0,""))))))</f>
        <v/>
      </c>
      <c r="O170" s="47" t="str">
        <f>IF(N170="","",N170*M170)</f>
        <v/>
      </c>
      <c r="P170" s="54" t="str">
        <f>IFERROR(AVERAGE(O170),"")</f>
        <v/>
      </c>
      <c r="Q170" s="42"/>
      <c r="R170" s="42"/>
      <c r="S170" s="43"/>
    </row>
    <row r="171" spans="1:19" s="19" customFormat="1" ht="14.45" customHeight="1">
      <c r="A171" s="94"/>
      <c r="B171" s="95"/>
      <c r="C171" s="96"/>
      <c r="D171" s="90"/>
      <c r="E171" s="91"/>
      <c r="F171" s="91"/>
      <c r="G171" s="91"/>
      <c r="H171" s="91"/>
      <c r="I171" s="91"/>
      <c r="J171" s="91"/>
      <c r="K171" s="92"/>
      <c r="L171" s="2"/>
      <c r="M171" s="83"/>
      <c r="N171" s="47"/>
      <c r="O171" s="47"/>
      <c r="P171" s="54"/>
      <c r="Q171" s="42"/>
      <c r="R171" s="42"/>
      <c r="S171" s="43"/>
    </row>
    <row r="172" spans="1:19" ht="14.45" customHeight="1">
      <c r="A172" s="143">
        <v>11</v>
      </c>
      <c r="B172" s="137" t="s">
        <v>194</v>
      </c>
      <c r="C172" s="144" t="s">
        <v>195</v>
      </c>
      <c r="D172" s="122"/>
      <c r="E172" s="213"/>
      <c r="F172" s="213"/>
      <c r="G172" s="213"/>
      <c r="H172" s="213"/>
      <c r="I172" s="213"/>
      <c r="J172" s="213"/>
      <c r="K172" s="212"/>
      <c r="L172" s="2"/>
      <c r="M172" s="47"/>
      <c r="N172" s="47" t="str">
        <f>IF(L172="NA","",
IF(L172="Yes",5,
IF(L172="Partial",4,
IF(L172="In Progress",3,
IF(L172="Not clarified",2,
IF(L172="No",0,""))))))</f>
        <v/>
      </c>
      <c r="O172" s="47" t="str">
        <f>IF(N172="","",N172*M172)</f>
        <v/>
      </c>
      <c r="P172" s="54"/>
      <c r="Q172" s="228"/>
      <c r="R172" s="213"/>
      <c r="S172" s="212"/>
    </row>
    <row r="173" spans="1:19" ht="14.45" customHeight="1">
      <c r="A173" s="240"/>
      <c r="B173" s="223"/>
      <c r="C173" s="236"/>
      <c r="D173" s="238" t="s">
        <v>196</v>
      </c>
      <c r="E173" s="213"/>
      <c r="F173" s="213"/>
      <c r="G173" s="213"/>
      <c r="H173" s="213"/>
      <c r="I173" s="213"/>
      <c r="J173" s="213"/>
      <c r="K173" s="212"/>
      <c r="L173" s="2"/>
      <c r="M173" s="83">
        <v>5</v>
      </c>
      <c r="N173" s="47" t="str">
        <f>IF(L173="NA","",
IF(L173="Yes",5,
IF(L173="Partial",4,
IF(L173="In Progress",3,
IF(L173="Not clarified",2,
IF(L173="No",0,""))))))</f>
        <v/>
      </c>
      <c r="O173" s="47" t="str">
        <f>IF(N173="","",N173*M173)</f>
        <v/>
      </c>
      <c r="P173" s="127" t="str">
        <f>IFERROR(AVERAGE(O173:O177),"")</f>
        <v/>
      </c>
      <c r="Q173" s="121"/>
      <c r="R173" s="213"/>
      <c r="S173" s="212"/>
    </row>
    <row r="174" spans="1:19" ht="14.45" customHeight="1">
      <c r="A174" s="240"/>
      <c r="B174" s="223"/>
      <c r="C174" s="236"/>
      <c r="D174" s="122" t="s">
        <v>197</v>
      </c>
      <c r="E174" s="213"/>
      <c r="F174" s="213"/>
      <c r="G174" s="213"/>
      <c r="H174" s="213"/>
      <c r="I174" s="213"/>
      <c r="J174" s="213"/>
      <c r="K174" s="212"/>
      <c r="L174" s="2"/>
      <c r="M174" s="83">
        <v>5</v>
      </c>
      <c r="N174" s="47" t="str">
        <f>IF(L174="NA","",
IF(L174="Yes",5,
IF(L174="Partial",4,
IF(L174="In Progress",3,
IF(L174="Not clarified",2,
IF(L174="No",0,""))))))</f>
        <v/>
      </c>
      <c r="O174" s="47" t="str">
        <f>IF(N174="","",N174*M174)</f>
        <v/>
      </c>
      <c r="P174" s="223"/>
      <c r="Q174" s="121"/>
      <c r="R174" s="213"/>
      <c r="S174" s="212"/>
    </row>
    <row r="175" spans="1:19" ht="14.45" customHeight="1">
      <c r="A175" s="240"/>
      <c r="B175" s="223"/>
      <c r="C175" s="236"/>
      <c r="D175" s="238" t="s">
        <v>198</v>
      </c>
      <c r="E175" s="213"/>
      <c r="F175" s="213"/>
      <c r="G175" s="213"/>
      <c r="H175" s="213"/>
      <c r="I175" s="213"/>
      <c r="J175" s="213"/>
      <c r="K175" s="212"/>
      <c r="L175" s="2"/>
      <c r="M175" s="83">
        <v>5</v>
      </c>
      <c r="N175" s="47" t="str">
        <f>IF(L175="NA","",
IF(L175="Yes",5,
IF(L175="Partial",4,
IF(L175="In Progress",3,
IF(L175="Not clarified",2,
IF(L175="No",0,""))))))</f>
        <v/>
      </c>
      <c r="O175" s="47" t="str">
        <f>IF(N175="","",N175*M175)</f>
        <v/>
      </c>
      <c r="P175" s="223"/>
      <c r="Q175" s="121"/>
      <c r="R175" s="213"/>
      <c r="S175" s="212"/>
    </row>
    <row r="176" spans="1:19" ht="14.45" customHeight="1">
      <c r="A176" s="240"/>
      <c r="B176" s="223"/>
      <c r="C176" s="236"/>
      <c r="D176" s="238" t="s">
        <v>199</v>
      </c>
      <c r="E176" s="213"/>
      <c r="F176" s="213"/>
      <c r="G176" s="213"/>
      <c r="H176" s="213"/>
      <c r="I176" s="213"/>
      <c r="J176" s="213"/>
      <c r="K176" s="212"/>
      <c r="L176" s="2"/>
      <c r="M176" s="83">
        <v>5</v>
      </c>
      <c r="N176" s="47" t="str">
        <f>IF(L176="NA","",
IF(L176="Yes",5,
IF(L176="Partial",4,
IF(L176="In Progress",3,
IF(L176="Not clarified",2,
IF(L176="No",0,""))))))</f>
        <v/>
      </c>
      <c r="O176" s="47" t="str">
        <f>IF(N176="","",N176*M176)</f>
        <v/>
      </c>
      <c r="P176" s="223"/>
      <c r="Q176" s="121"/>
      <c r="R176" s="213"/>
      <c r="S176" s="212"/>
    </row>
    <row r="177" spans="1:19" ht="14.45" customHeight="1">
      <c r="A177" s="240"/>
      <c r="B177" s="227"/>
      <c r="C177" s="220"/>
      <c r="D177" s="122" t="s">
        <v>200</v>
      </c>
      <c r="E177" s="213"/>
      <c r="F177" s="213"/>
      <c r="G177" s="213"/>
      <c r="H177" s="213"/>
      <c r="I177" s="213"/>
      <c r="J177" s="213"/>
      <c r="K177" s="212"/>
      <c r="L177" s="2"/>
      <c r="M177" s="83">
        <v>5</v>
      </c>
      <c r="N177" s="47" t="str">
        <f>IF(L177="NA","",
IF(L177="Yes",5,
IF(L177="Partial",4,
IF(L177="In Progress",3,
IF(L177="Not clarified",2,
IF(L177="No",0,""))))))</f>
        <v/>
      </c>
      <c r="O177" s="47" t="str">
        <f>IF(N177="","",N177*M177)</f>
        <v/>
      </c>
      <c r="P177" s="227"/>
      <c r="Q177" s="121"/>
      <c r="R177" s="213"/>
      <c r="S177" s="212"/>
    </row>
    <row r="178" spans="1:19" ht="14.45" customHeight="1">
      <c r="A178" s="98"/>
      <c r="B178" s="99"/>
      <c r="C178" s="97"/>
      <c r="D178" s="124"/>
      <c r="E178" s="213"/>
      <c r="F178" s="213"/>
      <c r="G178" s="213"/>
      <c r="H178" s="213"/>
      <c r="I178" s="213"/>
      <c r="J178" s="213"/>
      <c r="K178" s="212"/>
      <c r="L178" s="2"/>
      <c r="M178" s="47"/>
      <c r="N178" s="47" t="str">
        <f>IF(L178="NA","",
IF(L178="Yes",5,
IF(L178="Partial",4,
IF(L178="In Progress",3,
IF(L178="Not clarified",2,
IF(L178="No",0,""))))))</f>
        <v/>
      </c>
      <c r="O178" s="47" t="str">
        <f>IF(N178="","",N178*M178)</f>
        <v/>
      </c>
      <c r="P178" s="54"/>
      <c r="Q178" s="121"/>
      <c r="R178" s="213"/>
      <c r="S178" s="212"/>
    </row>
    <row r="179" spans="1:19" ht="14.45" customHeight="1">
      <c r="A179" s="180">
        <v>12</v>
      </c>
      <c r="B179" s="137" t="s">
        <v>201</v>
      </c>
      <c r="C179" s="144" t="s">
        <v>202</v>
      </c>
      <c r="D179" s="238" t="s">
        <v>203</v>
      </c>
      <c r="E179" s="213"/>
      <c r="F179" s="213"/>
      <c r="G179" s="213"/>
      <c r="H179" s="213"/>
      <c r="I179" s="213"/>
      <c r="J179" s="213"/>
      <c r="K179" s="212"/>
      <c r="L179" s="2"/>
      <c r="M179" s="83">
        <v>5</v>
      </c>
      <c r="N179" s="47" t="str">
        <f>IF(L179="NA","",
IF(L179="Yes",5,
IF(L179="Partial",4,
IF(L179="In Progress",3,
IF(L179="Not clarified",2,
IF(L179="No",0,""))))))</f>
        <v/>
      </c>
      <c r="O179" s="47" t="str">
        <f>IF(N179="","",N179*M179)</f>
        <v/>
      </c>
      <c r="P179" s="127" t="str">
        <f>IFERROR(AVERAGE(O179:O184),"")</f>
        <v/>
      </c>
      <c r="Q179" s="121"/>
      <c r="R179" s="213"/>
      <c r="S179" s="212"/>
    </row>
    <row r="180" spans="1:19" ht="14.45" customHeight="1">
      <c r="A180" s="240"/>
      <c r="B180" s="223"/>
      <c r="C180" s="236"/>
      <c r="D180" s="122" t="s">
        <v>204</v>
      </c>
      <c r="E180" s="213"/>
      <c r="F180" s="213"/>
      <c r="G180" s="213"/>
      <c r="H180" s="213"/>
      <c r="I180" s="213"/>
      <c r="J180" s="213"/>
      <c r="K180" s="212"/>
      <c r="L180" s="2"/>
      <c r="M180" s="83">
        <v>5</v>
      </c>
      <c r="N180" s="47" t="str">
        <f>IF(L180="NA","",
IF(L180="Yes",5,
IF(L180="Partial",4,
IF(L180="In Progress",3,
IF(L180="Not clarified",2,
IF(L180="No",0,""))))))</f>
        <v/>
      </c>
      <c r="O180" s="47" t="str">
        <f>IF(N180="","",N180*M180)</f>
        <v/>
      </c>
      <c r="P180" s="223"/>
      <c r="Q180" s="121"/>
      <c r="R180" s="213"/>
      <c r="S180" s="212"/>
    </row>
    <row r="181" spans="1:19" ht="14.45" customHeight="1">
      <c r="A181" s="240"/>
      <c r="B181" s="223"/>
      <c r="C181" s="236"/>
      <c r="D181" s="122" t="s">
        <v>205</v>
      </c>
      <c r="E181" s="213"/>
      <c r="F181" s="213"/>
      <c r="G181" s="213"/>
      <c r="H181" s="213"/>
      <c r="I181" s="213"/>
      <c r="J181" s="213"/>
      <c r="K181" s="212"/>
      <c r="L181" s="2"/>
      <c r="M181" s="83">
        <v>5</v>
      </c>
      <c r="N181" s="47" t="str">
        <f>IF(L181="NA","",
IF(L181="Yes",5,
IF(L181="Partial",4,
IF(L181="In Progress",3,
IF(L181="Not clarified",2,
IF(L181="No",0,""))))))</f>
        <v/>
      </c>
      <c r="O181" s="47" t="str">
        <f>IF(N181="","",N181*M181)</f>
        <v/>
      </c>
      <c r="P181" s="223"/>
      <c r="Q181" s="121"/>
      <c r="R181" s="213"/>
      <c r="S181" s="212"/>
    </row>
    <row r="182" spans="1:19" ht="14.45" customHeight="1">
      <c r="A182" s="240"/>
      <c r="B182" s="223"/>
      <c r="C182" s="236"/>
      <c r="D182" s="238" t="s">
        <v>206</v>
      </c>
      <c r="E182" s="213"/>
      <c r="F182" s="213"/>
      <c r="G182" s="213"/>
      <c r="H182" s="213"/>
      <c r="I182" s="213"/>
      <c r="J182" s="213"/>
      <c r="K182" s="212"/>
      <c r="L182" s="2"/>
      <c r="M182" s="83">
        <v>4</v>
      </c>
      <c r="N182" s="47" t="str">
        <f>IF(L182="NA","",
IF(L182="Yes",5,
IF(L182="Partial",4,
IF(L182="In Progress",3,
IF(L182="Not clarified",2,
IF(L182="No",0,""))))))</f>
        <v/>
      </c>
      <c r="O182" s="47" t="str">
        <f>IF(N182="","",N182*M182)</f>
        <v/>
      </c>
      <c r="P182" s="223"/>
      <c r="Q182" s="228"/>
      <c r="R182" s="213"/>
      <c r="S182" s="212"/>
    </row>
    <row r="183" spans="1:19" ht="14.45" customHeight="1">
      <c r="A183" s="240"/>
      <c r="B183" s="223"/>
      <c r="C183" s="236"/>
      <c r="D183" s="122" t="s">
        <v>207</v>
      </c>
      <c r="E183" s="213"/>
      <c r="F183" s="213"/>
      <c r="G183" s="213"/>
      <c r="H183" s="213"/>
      <c r="I183" s="213"/>
      <c r="J183" s="213"/>
      <c r="K183" s="212"/>
      <c r="L183" s="2"/>
      <c r="M183" s="83">
        <v>4</v>
      </c>
      <c r="N183" s="47" t="str">
        <f>IF(L183="NA","",
IF(L183="Yes",5,
IF(L183="Partial",4,
IF(L183="In Progress",3,
IF(L183="Not clarified",2,
IF(L183="No",0,""))))))</f>
        <v/>
      </c>
      <c r="O183" s="47" t="str">
        <f>IF(N183="","",N183*M183)</f>
        <v/>
      </c>
      <c r="P183" s="223"/>
      <c r="Q183" s="121"/>
      <c r="R183" s="213"/>
      <c r="S183" s="212"/>
    </row>
    <row r="184" spans="1:19" ht="14.45" customHeight="1">
      <c r="A184" s="240"/>
      <c r="B184" s="223"/>
      <c r="C184" s="220"/>
      <c r="D184" s="238" t="s">
        <v>208</v>
      </c>
      <c r="E184" s="213"/>
      <c r="F184" s="213"/>
      <c r="G184" s="213"/>
      <c r="H184" s="213"/>
      <c r="I184" s="213"/>
      <c r="J184" s="213"/>
      <c r="K184" s="212"/>
      <c r="L184" s="2"/>
      <c r="M184" s="83">
        <v>3</v>
      </c>
      <c r="N184" s="47" t="str">
        <f>IF(L184="NA","",
IF(L184="Yes",5,
IF(L184="Partial",4,
IF(L184="In Progress",3,
IF(L184="Not clarified",2,
IF(L184="No",0,""))))))</f>
        <v/>
      </c>
      <c r="O184" s="47" t="str">
        <f>IF(N184="","",N184*M184)</f>
        <v/>
      </c>
      <c r="P184" s="227"/>
      <c r="Q184" s="228"/>
      <c r="R184" s="213"/>
      <c r="S184" s="212"/>
    </row>
    <row r="185" spans="1:19" ht="14.45" customHeight="1">
      <c r="A185" s="240"/>
      <c r="B185" s="223"/>
      <c r="C185" s="97"/>
      <c r="D185" s="124"/>
      <c r="E185" s="213"/>
      <c r="F185" s="213"/>
      <c r="G185" s="213"/>
      <c r="H185" s="213"/>
      <c r="I185" s="213"/>
      <c r="J185" s="213"/>
      <c r="K185" s="212"/>
      <c r="L185" s="2"/>
      <c r="M185" s="47"/>
      <c r="N185" s="47" t="str">
        <f>IF(L185="NA","",
IF(L185="Yes",5,
IF(L185="Partial",4,
IF(L185="In Progress",3,
IF(L185="Not clarified",2,
IF(L185="No",0,""))))))</f>
        <v/>
      </c>
      <c r="O185" s="47" t="str">
        <f>IF(N185="","",N185*M185)</f>
        <v/>
      </c>
      <c r="P185" s="54"/>
      <c r="Q185" s="121"/>
      <c r="R185" s="213"/>
      <c r="S185" s="212"/>
    </row>
    <row r="186" spans="1:19" ht="14.45" customHeight="1">
      <c r="A186" s="240"/>
      <c r="B186" s="223"/>
      <c r="C186" s="144" t="s">
        <v>209</v>
      </c>
      <c r="D186" s="238" t="s">
        <v>210</v>
      </c>
      <c r="E186" s="213"/>
      <c r="F186" s="213"/>
      <c r="G186" s="213"/>
      <c r="H186" s="213"/>
      <c r="I186" s="213"/>
      <c r="J186" s="213"/>
      <c r="K186" s="212"/>
      <c r="L186" s="2"/>
      <c r="M186" s="83">
        <v>5</v>
      </c>
      <c r="N186" s="47" t="str">
        <f>IF(L186="NA","",
IF(L186="Yes",5,
IF(L186="Partial",4,
IF(L186="In Progress",3,
IF(L186="Not clarified",2,
IF(L186="No",0,""))))))</f>
        <v/>
      </c>
      <c r="O186" s="47" t="str">
        <f>IF(N186="","",N186*M186)</f>
        <v/>
      </c>
      <c r="P186" s="127" t="str">
        <f>IFERROR(AVERAGE(O186:O191),"")</f>
        <v/>
      </c>
      <c r="Q186" s="121"/>
      <c r="R186" s="213"/>
      <c r="S186" s="212"/>
    </row>
    <row r="187" spans="1:19" ht="14.45" customHeight="1">
      <c r="A187" s="240"/>
      <c r="B187" s="223"/>
      <c r="C187" s="236"/>
      <c r="D187" s="238" t="s">
        <v>211</v>
      </c>
      <c r="E187" s="213"/>
      <c r="F187" s="213"/>
      <c r="G187" s="213"/>
      <c r="H187" s="213"/>
      <c r="I187" s="213"/>
      <c r="J187" s="213"/>
      <c r="K187" s="212"/>
      <c r="L187" s="2"/>
      <c r="M187" s="83">
        <v>5</v>
      </c>
      <c r="N187" s="47" t="str">
        <f>IF(L187="NA","",
IF(L187="Yes",5,
IF(L187="Partial",4,
IF(L187="In Progress",3,
IF(L187="Not clarified",2,
IF(L187="No",0,""))))))</f>
        <v/>
      </c>
      <c r="O187" s="47" t="str">
        <f>IF(N187="","",N187*M187)</f>
        <v/>
      </c>
      <c r="P187" s="223"/>
      <c r="Q187" s="121"/>
      <c r="R187" s="213"/>
      <c r="S187" s="212"/>
    </row>
    <row r="188" spans="1:19" ht="14.45" customHeight="1">
      <c r="A188" s="240"/>
      <c r="B188" s="223"/>
      <c r="C188" s="236"/>
      <c r="D188" s="238" t="s">
        <v>212</v>
      </c>
      <c r="E188" s="213"/>
      <c r="F188" s="213"/>
      <c r="G188" s="213"/>
      <c r="H188" s="213"/>
      <c r="I188" s="213"/>
      <c r="J188" s="213"/>
      <c r="K188" s="212"/>
      <c r="L188" s="2"/>
      <c r="M188" s="83">
        <v>4</v>
      </c>
      <c r="N188" s="47" t="str">
        <f>IF(L188="NA","",
IF(L188="Yes",5,
IF(L188="Partial",4,
IF(L188="In Progress",3,
IF(L188="Not clarified",2,
IF(L188="No",0,""))))))</f>
        <v/>
      </c>
      <c r="O188" s="47" t="str">
        <f>IF(N188="","",N188*M188)</f>
        <v/>
      </c>
      <c r="P188" s="223"/>
      <c r="Q188" s="121"/>
      <c r="R188" s="213"/>
      <c r="S188" s="212"/>
    </row>
    <row r="189" spans="1:19" ht="14.45" customHeight="1">
      <c r="A189" s="240"/>
      <c r="B189" s="223"/>
      <c r="C189" s="236"/>
      <c r="D189" s="122" t="s">
        <v>213</v>
      </c>
      <c r="E189" s="213"/>
      <c r="F189" s="213"/>
      <c r="G189" s="213"/>
      <c r="H189" s="213"/>
      <c r="I189" s="213"/>
      <c r="J189" s="213"/>
      <c r="K189" s="212"/>
      <c r="L189" s="2"/>
      <c r="M189" s="83">
        <v>4</v>
      </c>
      <c r="N189" s="47" t="str">
        <f>IF(L189="NA","",
IF(L189="Yes",5,
IF(L189="Partial",4,
IF(L189="In Progress",3,
IF(L189="Not clarified",2,
IF(L189="No",0,""))))))</f>
        <v/>
      </c>
      <c r="O189" s="47" t="str">
        <f>IF(N189="","",N189*M189)</f>
        <v/>
      </c>
      <c r="P189" s="223"/>
      <c r="Q189" s="121"/>
      <c r="R189" s="213"/>
      <c r="S189" s="212"/>
    </row>
    <row r="190" spans="1:19" ht="14.45" customHeight="1">
      <c r="A190" s="240"/>
      <c r="B190" s="223"/>
      <c r="C190" s="236"/>
      <c r="D190" s="122" t="s">
        <v>214</v>
      </c>
      <c r="E190" s="213"/>
      <c r="F190" s="213"/>
      <c r="G190" s="213"/>
      <c r="H190" s="213"/>
      <c r="I190" s="213"/>
      <c r="J190" s="213"/>
      <c r="K190" s="212"/>
      <c r="L190" s="2"/>
      <c r="M190" s="83">
        <v>5</v>
      </c>
      <c r="N190" s="47" t="str">
        <f>IF(L190="NA","",
IF(L190="Yes",5,
IF(L190="Partial",4,
IF(L190="In Progress",3,
IF(L190="Not clarified",2,
IF(L190="No",0,""))))))</f>
        <v/>
      </c>
      <c r="O190" s="47" t="str">
        <f>IF(N190="","",N190*M190)</f>
        <v/>
      </c>
      <c r="P190" s="223"/>
      <c r="Q190" s="228"/>
      <c r="R190" s="213"/>
      <c r="S190" s="212"/>
    </row>
    <row r="191" spans="1:19" ht="14.45" customHeight="1">
      <c r="A191" s="241"/>
      <c r="B191" s="227"/>
      <c r="C191" s="220"/>
      <c r="D191" s="122" t="s">
        <v>215</v>
      </c>
      <c r="E191" s="213"/>
      <c r="F191" s="213"/>
      <c r="G191" s="213"/>
      <c r="H191" s="213"/>
      <c r="I191" s="213"/>
      <c r="J191" s="213"/>
      <c r="K191" s="212"/>
      <c r="L191" s="2"/>
      <c r="M191" s="83">
        <v>5</v>
      </c>
      <c r="N191" s="47" t="str">
        <f>IF(L191="NA","",
IF(L191="Yes",5,
IF(L191="Partial",4,
IF(L191="In Progress",3,
IF(L191="Not clarified",2,
IF(L191="No",0,""))))))</f>
        <v/>
      </c>
      <c r="O191" s="47" t="str">
        <f>IF(N191="","",N191*M191)</f>
        <v/>
      </c>
      <c r="P191" s="227"/>
      <c r="Q191" s="228"/>
      <c r="R191" s="213"/>
      <c r="S191" s="212"/>
    </row>
    <row r="192" spans="1:19" ht="14.45" customHeight="1">
      <c r="A192" s="59"/>
      <c r="B192" s="26"/>
      <c r="C192" s="13"/>
      <c r="D192" s="123"/>
      <c r="E192" s="213"/>
      <c r="F192" s="213"/>
      <c r="G192" s="213"/>
      <c r="H192" s="213"/>
      <c r="I192" s="213"/>
      <c r="J192" s="213"/>
      <c r="K192" s="212"/>
      <c r="L192" s="2"/>
      <c r="M192" s="47"/>
      <c r="N192" s="47" t="str">
        <f>IF(L192="NA","",
IF(L192="Yes",5,
IF(L192="Partial",4,
IF(L192="In Progress",3,
IF(L192="Not clarified",2,
IF(L192="No",0,""))))))</f>
        <v/>
      </c>
      <c r="O192" s="47" t="str">
        <f>IF(N192="","",N192*M192)</f>
        <v/>
      </c>
      <c r="P192" s="54"/>
      <c r="Q192" s="228"/>
      <c r="R192" s="213"/>
      <c r="S192" s="212"/>
    </row>
    <row r="193" spans="1:19" ht="14.45" customHeight="1">
      <c r="A193" s="130">
        <v>13</v>
      </c>
      <c r="B193" s="129" t="s">
        <v>216</v>
      </c>
      <c r="C193" s="129" t="s">
        <v>217</v>
      </c>
      <c r="D193" s="122" t="s">
        <v>218</v>
      </c>
      <c r="E193" s="213"/>
      <c r="F193" s="213"/>
      <c r="G193" s="213"/>
      <c r="H193" s="213"/>
      <c r="I193" s="213"/>
      <c r="J193" s="213"/>
      <c r="K193" s="212"/>
      <c r="L193" s="2"/>
      <c r="M193" s="83">
        <v>5</v>
      </c>
      <c r="N193" s="47" t="str">
        <f>IF(L193="NA","",
IF(L193="Yes",5,
IF(L193="Partial",4,
IF(L193="In Progress",3,
IF(L193="Not clarified",2,
IF(L193="No",0,""))))))</f>
        <v/>
      </c>
      <c r="O193" s="47" t="str">
        <f>IF(N193="","",N193*M193)</f>
        <v/>
      </c>
      <c r="P193" s="127" t="str">
        <f>IFERROR(AVERAGE(O193:O197),"")</f>
        <v/>
      </c>
      <c r="Q193" s="228"/>
      <c r="R193" s="213"/>
      <c r="S193" s="212"/>
    </row>
    <row r="194" spans="1:19" ht="14.45" customHeight="1">
      <c r="A194" s="222"/>
      <c r="B194" s="222"/>
      <c r="C194" s="222"/>
      <c r="D194" s="122" t="s">
        <v>219</v>
      </c>
      <c r="E194" s="213"/>
      <c r="F194" s="213"/>
      <c r="G194" s="213"/>
      <c r="H194" s="213"/>
      <c r="I194" s="213"/>
      <c r="J194" s="213"/>
      <c r="K194" s="212"/>
      <c r="L194" s="2"/>
      <c r="M194" s="83">
        <v>5</v>
      </c>
      <c r="N194" s="47" t="str">
        <f>IF(L194="NA","",
IF(L194="Yes",5,
IF(L194="Partial",4,
IF(L194="In Progress",3,
IF(L194="Not clarified",2,
IF(L194="No",0,""))))))</f>
        <v/>
      </c>
      <c r="O194" s="47" t="str">
        <f>IF(N194="","",N194*M194)</f>
        <v/>
      </c>
      <c r="P194" s="223"/>
      <c r="Q194" s="121"/>
      <c r="R194" s="213"/>
      <c r="S194" s="212"/>
    </row>
    <row r="195" spans="1:19" ht="14.45" customHeight="1">
      <c r="A195" s="222"/>
      <c r="B195" s="222"/>
      <c r="C195" s="222"/>
      <c r="D195" s="122" t="s">
        <v>220</v>
      </c>
      <c r="E195" s="213"/>
      <c r="F195" s="213"/>
      <c r="G195" s="213"/>
      <c r="H195" s="213"/>
      <c r="I195" s="213"/>
      <c r="J195" s="213"/>
      <c r="K195" s="212"/>
      <c r="L195" s="2"/>
      <c r="M195" s="83">
        <v>5</v>
      </c>
      <c r="N195" s="47" t="str">
        <f>IF(L195="NA","",
IF(L195="Yes",5,
IF(L195="Partial",4,
IF(L195="In Progress",3,
IF(L195="Not clarified",2,
IF(L195="No",0,""))))))</f>
        <v/>
      </c>
      <c r="O195" s="47" t="str">
        <f>IF(N195="","",N195*M195)</f>
        <v/>
      </c>
      <c r="P195" s="223"/>
      <c r="Q195" s="228"/>
      <c r="R195" s="213"/>
      <c r="S195" s="212"/>
    </row>
    <row r="196" spans="1:19" ht="14.45" customHeight="1">
      <c r="A196" s="222"/>
      <c r="B196" s="222"/>
      <c r="C196" s="222"/>
      <c r="D196" s="122" t="s">
        <v>221</v>
      </c>
      <c r="E196" s="213"/>
      <c r="F196" s="213"/>
      <c r="G196" s="213"/>
      <c r="H196" s="213"/>
      <c r="I196" s="213"/>
      <c r="J196" s="213"/>
      <c r="K196" s="212"/>
      <c r="L196" s="2"/>
      <c r="M196" s="83">
        <v>4</v>
      </c>
      <c r="N196" s="47" t="str">
        <f>IF(L196="NA","",
IF(L196="Yes",5,
IF(L196="Partial",4,
IF(L196="In Progress",3,
IF(L196="Not clarified",2,
IF(L196="No",0,""))))))</f>
        <v/>
      </c>
      <c r="O196" s="47" t="str">
        <f>IF(N196="","",N196*M196)</f>
        <v/>
      </c>
      <c r="P196" s="223"/>
      <c r="Q196" s="121"/>
      <c r="R196" s="213"/>
      <c r="S196" s="212"/>
    </row>
    <row r="197" spans="1:19" ht="14.45" customHeight="1">
      <c r="A197" s="226"/>
      <c r="B197" s="226"/>
      <c r="C197" s="226"/>
      <c r="D197" s="122" t="s">
        <v>39</v>
      </c>
      <c r="E197" s="213"/>
      <c r="F197" s="213"/>
      <c r="G197" s="213"/>
      <c r="H197" s="213"/>
      <c r="I197" s="213"/>
      <c r="J197" s="213"/>
      <c r="K197" s="212"/>
      <c r="L197" s="2"/>
      <c r="M197" s="83">
        <v>5</v>
      </c>
      <c r="N197" s="47" t="str">
        <f>IF(L197="NA","",
IF(L197="Yes",5,
IF(L197="Partial",4,
IF(L197="In Progress",3,
IF(L197="Not clarified",2,
IF(L197="No",0,""))))))</f>
        <v/>
      </c>
      <c r="O197" s="47" t="str">
        <f>IF(N197="","",N197*M197)</f>
        <v/>
      </c>
      <c r="P197" s="227"/>
      <c r="Q197" s="228"/>
      <c r="R197" s="213"/>
      <c r="S197" s="212"/>
    </row>
    <row r="198" spans="1:19" ht="14.45" customHeight="1">
      <c r="A198" s="59"/>
      <c r="B198" s="4"/>
      <c r="C198" s="4"/>
      <c r="D198" s="124"/>
      <c r="E198" s="213"/>
      <c r="F198" s="213"/>
      <c r="G198" s="213"/>
      <c r="H198" s="213"/>
      <c r="I198" s="213"/>
      <c r="J198" s="213"/>
      <c r="K198" s="212"/>
      <c r="L198" s="2"/>
      <c r="M198" s="47"/>
      <c r="N198" s="47" t="str">
        <f>IF(L198="NA","",
IF(L198="Yes",5,
IF(L198="Partial",4,
IF(L198="In Progress",3,
IF(L198="Not clarified",2,
IF(L198="No",0,""))))))</f>
        <v/>
      </c>
      <c r="O198" s="47" t="str">
        <f>IF(N198="","",N198*M198)</f>
        <v/>
      </c>
      <c r="P198" s="54"/>
      <c r="Q198" s="121"/>
      <c r="R198" s="213"/>
      <c r="S198" s="212"/>
    </row>
    <row r="199" spans="1:19" ht="14.45" customHeight="1">
      <c r="A199" s="130">
        <v>14</v>
      </c>
      <c r="B199" s="129" t="s">
        <v>222</v>
      </c>
      <c r="C199" s="129" t="s">
        <v>223</v>
      </c>
      <c r="D199" s="122" t="s">
        <v>224</v>
      </c>
      <c r="E199" s="213"/>
      <c r="F199" s="213"/>
      <c r="G199" s="213"/>
      <c r="H199" s="213"/>
      <c r="I199" s="213"/>
      <c r="J199" s="213"/>
      <c r="K199" s="212"/>
      <c r="L199" s="2"/>
      <c r="M199" s="83">
        <v>5</v>
      </c>
      <c r="N199" s="47" t="str">
        <f>IF(L199="NA","",
IF(L199="Yes",5,
IF(L199="Partial",4,
IF(L199="In Progress",3,
IF(L199="Not clarified",2,
IF(L199="No",0,""))))))</f>
        <v/>
      </c>
      <c r="O199" s="47" t="str">
        <f>IF(N199="","",N199*M199)</f>
        <v/>
      </c>
      <c r="P199" s="127" t="str">
        <f>IFERROR(AVERAGE(O199:O205),"")</f>
        <v/>
      </c>
      <c r="Q199" s="228"/>
      <c r="R199" s="213"/>
      <c r="S199" s="212"/>
    </row>
    <row r="200" spans="1:19" ht="14.45" customHeight="1">
      <c r="A200" s="222"/>
      <c r="B200" s="222"/>
      <c r="C200" s="222"/>
      <c r="D200" s="122" t="s">
        <v>225</v>
      </c>
      <c r="E200" s="213"/>
      <c r="F200" s="213"/>
      <c r="G200" s="213"/>
      <c r="H200" s="213"/>
      <c r="I200" s="213"/>
      <c r="J200" s="213"/>
      <c r="K200" s="212"/>
      <c r="L200" s="2"/>
      <c r="M200" s="83">
        <v>5</v>
      </c>
      <c r="N200" s="47" t="str">
        <f>IF(L200="NA","",
IF(L200="Yes",5,
IF(L200="Partial",4,
IF(L200="In Progress",3,
IF(L200="Not clarified",2,
IF(L200="No",0,""))))))</f>
        <v/>
      </c>
      <c r="O200" s="47" t="str">
        <f>IF(N200="","",N200*M200)</f>
        <v/>
      </c>
      <c r="P200" s="223"/>
      <c r="Q200" s="141"/>
      <c r="R200" s="213"/>
      <c r="S200" s="212"/>
    </row>
    <row r="201" spans="1:19" ht="14.45" customHeight="1">
      <c r="A201" s="222"/>
      <c r="B201" s="222"/>
      <c r="C201" s="222"/>
      <c r="D201" s="122" t="s">
        <v>226</v>
      </c>
      <c r="E201" s="213"/>
      <c r="F201" s="213"/>
      <c r="G201" s="213"/>
      <c r="H201" s="213"/>
      <c r="I201" s="213"/>
      <c r="J201" s="213"/>
      <c r="K201" s="212"/>
      <c r="L201" s="2"/>
      <c r="M201" s="83">
        <v>4</v>
      </c>
      <c r="N201" s="47" t="str">
        <f>IF(L201="NA","",
IF(L201="Yes",5,
IF(L201="Partial",4,
IF(L201="In Progress",3,
IF(L201="Not clarified",2,
IF(L201="No",0,""))))))</f>
        <v/>
      </c>
      <c r="O201" s="47" t="str">
        <f>IF(N201="","",N201*M201)</f>
        <v/>
      </c>
      <c r="P201" s="223"/>
      <c r="Q201" s="141"/>
      <c r="R201" s="213"/>
      <c r="S201" s="212"/>
    </row>
    <row r="202" spans="1:19" ht="14.45" customHeight="1">
      <c r="A202" s="222"/>
      <c r="B202" s="222"/>
      <c r="C202" s="222"/>
      <c r="D202" s="122" t="s">
        <v>227</v>
      </c>
      <c r="E202" s="213"/>
      <c r="F202" s="213"/>
      <c r="G202" s="213"/>
      <c r="H202" s="213"/>
      <c r="I202" s="213"/>
      <c r="J202" s="213"/>
      <c r="K202" s="212"/>
      <c r="L202" s="2"/>
      <c r="M202" s="83">
        <v>5</v>
      </c>
      <c r="N202" s="47" t="str">
        <f>IF(L202="NA","",
IF(L202="Yes",5,
IF(L202="Partial",4,
IF(L202="In Progress",3,
IF(L202="Not clarified",2,
IF(L202="No",0,""))))))</f>
        <v/>
      </c>
      <c r="O202" s="47" t="str">
        <f>IF(N202="","",N202*M202)</f>
        <v/>
      </c>
      <c r="P202" s="223"/>
      <c r="Q202" s="141"/>
      <c r="R202" s="213"/>
      <c r="S202" s="212"/>
    </row>
    <row r="203" spans="1:19" ht="14.45" customHeight="1">
      <c r="A203" s="222"/>
      <c r="B203" s="222"/>
      <c r="C203" s="222"/>
      <c r="D203" s="122" t="s">
        <v>228</v>
      </c>
      <c r="E203" s="213"/>
      <c r="F203" s="213"/>
      <c r="G203" s="213"/>
      <c r="H203" s="213"/>
      <c r="I203" s="213"/>
      <c r="J203" s="213"/>
      <c r="K203" s="212"/>
      <c r="L203" s="2"/>
      <c r="M203" s="83">
        <v>5</v>
      </c>
      <c r="N203" s="47" t="str">
        <f>IF(L203="NA","",
IF(L203="Yes",5,
IF(L203="Partial",4,
IF(L203="In Progress",3,
IF(L203="Not clarified",2,
IF(L203="No",0,""))))))</f>
        <v/>
      </c>
      <c r="O203" s="47" t="str">
        <f>IF(N203="","",N203*M203)</f>
        <v/>
      </c>
      <c r="P203" s="223"/>
      <c r="Q203" s="228"/>
      <c r="R203" s="213"/>
      <c r="S203" s="212"/>
    </row>
    <row r="204" spans="1:19" ht="14.45" customHeight="1">
      <c r="A204" s="222"/>
      <c r="B204" s="222"/>
      <c r="C204" s="222"/>
      <c r="D204" s="122" t="s">
        <v>229</v>
      </c>
      <c r="E204" s="213"/>
      <c r="F204" s="213"/>
      <c r="G204" s="213"/>
      <c r="H204" s="213"/>
      <c r="I204" s="213"/>
      <c r="J204" s="213"/>
      <c r="K204" s="212"/>
      <c r="L204" s="2"/>
      <c r="M204" s="83">
        <v>4</v>
      </c>
      <c r="N204" s="47" t="str">
        <f>IF(L204="NA","",
IF(L204="Yes",5,
IF(L204="Partial",4,
IF(L204="In Progress",3,
IF(L204="Not clarified",2,
IF(L204="No",0,""))))))</f>
        <v/>
      </c>
      <c r="O204" s="47" t="str">
        <f>IF(N204="","",N204*M204)</f>
        <v/>
      </c>
      <c r="P204" s="223"/>
      <c r="Q204" s="228"/>
      <c r="R204" s="213"/>
      <c r="S204" s="212"/>
    </row>
    <row r="205" spans="1:19" ht="14.45" customHeight="1">
      <c r="A205" s="222"/>
      <c r="B205" s="222"/>
      <c r="C205" s="226"/>
      <c r="D205" s="122" t="s">
        <v>230</v>
      </c>
      <c r="E205" s="213"/>
      <c r="F205" s="213"/>
      <c r="G205" s="213"/>
      <c r="H205" s="213"/>
      <c r="I205" s="213"/>
      <c r="J205" s="213"/>
      <c r="K205" s="212"/>
      <c r="L205" s="2"/>
      <c r="M205" s="83">
        <v>5</v>
      </c>
      <c r="N205" s="47" t="str">
        <f>IF(L205="NA","",
IF(L205="Yes",5,
IF(L205="Partial",4,
IF(L205="In Progress",3,
IF(L205="Not clarified",2,
IF(L205="No",0,""))))))</f>
        <v/>
      </c>
      <c r="O205" s="47" t="str">
        <f>IF(N205="","",N205*M205)</f>
        <v/>
      </c>
      <c r="P205" s="227"/>
      <c r="Q205" s="228"/>
      <c r="R205" s="213"/>
      <c r="S205" s="212"/>
    </row>
    <row r="206" spans="1:19" ht="14.45" customHeight="1">
      <c r="A206" s="222"/>
      <c r="B206" s="222"/>
      <c r="C206" s="4"/>
      <c r="D206" s="124"/>
      <c r="E206" s="213"/>
      <c r="F206" s="213"/>
      <c r="G206" s="213"/>
      <c r="H206" s="213"/>
      <c r="I206" s="213"/>
      <c r="J206" s="213"/>
      <c r="K206" s="212"/>
      <c r="L206" s="2"/>
      <c r="M206" s="47"/>
      <c r="N206" s="47" t="str">
        <f>IF(L206="NA","",
IF(L206="Yes",5,
IF(L206="Partial",4,
IF(L206="In Progress",3,
IF(L206="Not clarified",2,
IF(L206="No",0,""))))))</f>
        <v/>
      </c>
      <c r="O206" s="47" t="str">
        <f>IF(N206="","",N206*M206)</f>
        <v/>
      </c>
      <c r="P206" s="54"/>
      <c r="Q206" s="121"/>
      <c r="R206" s="213"/>
      <c r="S206" s="212"/>
    </row>
    <row r="207" spans="1:19" ht="14.45" customHeight="1">
      <c r="A207" s="222"/>
      <c r="B207" s="222"/>
      <c r="C207" s="129" t="s">
        <v>231</v>
      </c>
      <c r="D207" s="122" t="s">
        <v>232</v>
      </c>
      <c r="E207" s="213"/>
      <c r="F207" s="213"/>
      <c r="G207" s="213"/>
      <c r="H207" s="213"/>
      <c r="I207" s="213"/>
      <c r="J207" s="213"/>
      <c r="K207" s="212"/>
      <c r="L207" s="2"/>
      <c r="M207" s="83">
        <v>5</v>
      </c>
      <c r="N207" s="47" t="str">
        <f>IF(L207="NA","",
IF(L207="Yes",5,
IF(L207="Partial",4,
IF(L207="In Progress",3,
IF(L207="Not clarified",2,
IF(L207="No",0,""))))))</f>
        <v/>
      </c>
      <c r="O207" s="47" t="str">
        <f>IF(N207="","",N207*M207)</f>
        <v/>
      </c>
      <c r="P207" s="127" t="str">
        <f>IFERROR(AVERAGE(O207:O210),"")</f>
        <v/>
      </c>
      <c r="Q207" s="163"/>
      <c r="R207" s="229"/>
      <c r="S207" s="230"/>
    </row>
    <row r="208" spans="1:19" ht="14.45" customHeight="1">
      <c r="A208" s="222"/>
      <c r="B208" s="222"/>
      <c r="C208" s="222"/>
      <c r="D208" s="122" t="s">
        <v>233</v>
      </c>
      <c r="E208" s="213"/>
      <c r="F208" s="213"/>
      <c r="G208" s="213"/>
      <c r="H208" s="213"/>
      <c r="I208" s="213"/>
      <c r="J208" s="213"/>
      <c r="K208" s="212"/>
      <c r="L208" s="2"/>
      <c r="M208" s="83">
        <v>5</v>
      </c>
      <c r="N208" s="47" t="str">
        <f>IF(L208="NA","",
IF(L208="Yes",5,
IF(L208="Partial",4,
IF(L208="In Progress",3,
IF(L208="Not clarified",2,
IF(L208="No",0,""))))))</f>
        <v/>
      </c>
      <c r="O208" s="47" t="str">
        <f>IF(N208="","",N208*M208)</f>
        <v/>
      </c>
      <c r="P208" s="223"/>
      <c r="Q208" s="235"/>
      <c r="R208" s="225"/>
      <c r="S208" s="236"/>
    </row>
    <row r="209" spans="1:19" ht="14.45" customHeight="1">
      <c r="A209" s="222"/>
      <c r="B209" s="222"/>
      <c r="C209" s="222"/>
      <c r="D209" s="187" t="s">
        <v>234</v>
      </c>
      <c r="E209" s="229"/>
      <c r="F209" s="229"/>
      <c r="G209" s="229"/>
      <c r="H209" s="229"/>
      <c r="I209" s="229"/>
      <c r="J209" s="229"/>
      <c r="K209" s="230"/>
      <c r="L209" s="2"/>
      <c r="M209" s="83">
        <v>4</v>
      </c>
      <c r="N209" s="47" t="str">
        <f>IF(L209="NA","",
IF(L209="Yes",5,
IF(L209="Partial",4,
IF(L209="In Progress",3,
IF(L209="Not clarified",2,
IF(L209="No",0,""))))))</f>
        <v/>
      </c>
      <c r="O209" s="47" t="str">
        <f>IF(N209="","",N209*M209)</f>
        <v/>
      </c>
      <c r="P209" s="223"/>
      <c r="Q209" s="235"/>
      <c r="R209" s="225"/>
      <c r="S209" s="236"/>
    </row>
    <row r="210" spans="1:19" ht="14.45" customHeight="1">
      <c r="A210" s="222"/>
      <c r="B210" s="222"/>
      <c r="C210" s="226"/>
      <c r="D210" s="122" t="s">
        <v>235</v>
      </c>
      <c r="E210" s="213"/>
      <c r="F210" s="213"/>
      <c r="G210" s="213"/>
      <c r="H210" s="213"/>
      <c r="I210" s="213"/>
      <c r="J210" s="213"/>
      <c r="K210" s="212"/>
      <c r="L210" s="2"/>
      <c r="M210" s="83">
        <v>5</v>
      </c>
      <c r="N210" s="47" t="str">
        <f>IF(L210="NA","",
IF(L210="Yes",5,
IF(L210="Partial",4,
IF(L210="In Progress",3,
IF(L210="Not clarified",2,
IF(L210="No",0,""))))))</f>
        <v/>
      </c>
      <c r="O210" s="47" t="str">
        <f>IF(N210="","",N210*M210)</f>
        <v/>
      </c>
      <c r="P210" s="227"/>
      <c r="Q210" s="231"/>
      <c r="R210" s="219"/>
      <c r="S210" s="220"/>
    </row>
    <row r="211" spans="1:19" ht="14.45" customHeight="1">
      <c r="A211" s="222"/>
      <c r="B211" s="222"/>
      <c r="C211" s="4"/>
      <c r="D211" s="124"/>
      <c r="E211" s="213"/>
      <c r="F211" s="213"/>
      <c r="G211" s="213"/>
      <c r="H211" s="213"/>
      <c r="I211" s="213"/>
      <c r="J211" s="213"/>
      <c r="K211" s="212"/>
      <c r="L211" s="2"/>
      <c r="M211" s="47"/>
      <c r="N211" s="47" t="str">
        <f>IF(L211="NA","",
IF(L211="Yes",5,
IF(L211="Partial",4,
IF(L211="In Progress",3,
IF(L211="Not clarified",2,
IF(L211="No",0,""))))))</f>
        <v/>
      </c>
      <c r="O211" s="47" t="str">
        <f>IF(N211="","",N211*M211)</f>
        <v/>
      </c>
      <c r="P211" s="87"/>
      <c r="Q211" s="121"/>
      <c r="R211" s="213"/>
      <c r="S211" s="212"/>
    </row>
    <row r="212" spans="1:19" s="72" customFormat="1" ht="42.95" customHeight="1">
      <c r="A212" s="222"/>
      <c r="B212" s="222"/>
      <c r="C212" s="129" t="s">
        <v>236</v>
      </c>
      <c r="D212" s="128" t="s">
        <v>237</v>
      </c>
      <c r="E212" s="213"/>
      <c r="F212" s="213"/>
      <c r="G212" s="213"/>
      <c r="H212" s="213"/>
      <c r="I212" s="213"/>
      <c r="J212" s="213"/>
      <c r="K212" s="212"/>
      <c r="L212" s="104"/>
      <c r="M212" s="83">
        <v>5</v>
      </c>
      <c r="N212" s="47" t="str">
        <f>IF(L212="NA","",
IF(L212="Yes",5,
IF(L212="Partial",4,
IF(L212="In Progress",3,
IF(L212="Not clarified",2,
IF(L212="No",0,""))))))</f>
        <v/>
      </c>
      <c r="O212" s="47" t="str">
        <f>IF(N212="","",N212*M212)</f>
        <v/>
      </c>
      <c r="P212" s="127" t="str">
        <f>IFERROR(AVERAGE(O212:O216),"")</f>
        <v/>
      </c>
      <c r="Q212" s="142"/>
      <c r="R212" s="213"/>
      <c r="S212" s="212"/>
    </row>
    <row r="213" spans="1:19" s="72" customFormat="1" ht="66" customHeight="1">
      <c r="A213" s="222"/>
      <c r="B213" s="222"/>
      <c r="C213" s="222"/>
      <c r="D213" s="128" t="s">
        <v>238</v>
      </c>
      <c r="E213" s="213"/>
      <c r="F213" s="213"/>
      <c r="G213" s="213"/>
      <c r="H213" s="213"/>
      <c r="I213" s="213"/>
      <c r="J213" s="213"/>
      <c r="K213" s="212"/>
      <c r="L213" s="104"/>
      <c r="M213" s="83">
        <v>5</v>
      </c>
      <c r="N213" s="47" t="str">
        <f>IF(L213="NA","",
IF(L213="Yes",5,
IF(L213="Partial",4,
IF(L213="In Progress",3,
IF(L213="Not clarified",2,
IF(L213="No",0,""))))))</f>
        <v/>
      </c>
      <c r="O213" s="47" t="str">
        <f>IF(N213="","",N213*M213)</f>
        <v/>
      </c>
      <c r="P213" s="223"/>
      <c r="Q213" s="134"/>
      <c r="R213" s="213"/>
      <c r="S213" s="212"/>
    </row>
    <row r="214" spans="1:19" ht="14.45" customHeight="1">
      <c r="A214" s="222"/>
      <c r="B214" s="222"/>
      <c r="C214" s="222"/>
      <c r="D214" s="122" t="s">
        <v>239</v>
      </c>
      <c r="E214" s="213"/>
      <c r="F214" s="213"/>
      <c r="G214" s="213"/>
      <c r="H214" s="213"/>
      <c r="I214" s="213"/>
      <c r="J214" s="213"/>
      <c r="K214" s="212"/>
      <c r="L214" s="2"/>
      <c r="M214" s="83">
        <v>5</v>
      </c>
      <c r="N214" s="47" t="str">
        <f>IF(L214="NA","",
IF(L214="Yes",5,
IF(L214="Partial",4,
IF(L214="In Progress",3,
IF(L214="Not clarified",2,
IF(L214="No",0,""))))))</f>
        <v/>
      </c>
      <c r="O214" s="47" t="str">
        <f>IF(N214="","",N214*M214)</f>
        <v/>
      </c>
      <c r="P214" s="223"/>
      <c r="Q214" s="212"/>
      <c r="R214" s="213"/>
      <c r="S214" s="212"/>
    </row>
    <row r="215" spans="1:19" s="72" customFormat="1" ht="30" customHeight="1">
      <c r="A215" s="222"/>
      <c r="B215" s="222"/>
      <c r="C215" s="222"/>
      <c r="D215" s="128" t="s">
        <v>240</v>
      </c>
      <c r="E215" s="213"/>
      <c r="F215" s="213"/>
      <c r="G215" s="213"/>
      <c r="H215" s="213"/>
      <c r="I215" s="213"/>
      <c r="J215" s="213"/>
      <c r="K215" s="212"/>
      <c r="L215" s="104"/>
      <c r="M215" s="83">
        <v>4</v>
      </c>
      <c r="N215" s="47" t="str">
        <f>IF(L215="NA","",
IF(L215="Yes",5,
IF(L215="Partial",4,
IF(L215="In Progress",3,
IF(L215="Not clarified",2,
IF(L215="No",0,""))))))</f>
        <v/>
      </c>
      <c r="O215" s="47" t="str">
        <f>IF(N215="","",N215*M215)</f>
        <v/>
      </c>
      <c r="P215" s="223"/>
      <c r="Q215" s="134"/>
      <c r="R215" s="213"/>
      <c r="S215" s="212"/>
    </row>
    <row r="216" spans="1:19" s="72" customFormat="1" ht="63" customHeight="1">
      <c r="A216" s="226"/>
      <c r="B216" s="226"/>
      <c r="C216" s="226"/>
      <c r="D216" s="119" t="s">
        <v>241</v>
      </c>
      <c r="E216" s="106"/>
      <c r="F216" s="106"/>
      <c r="G216" s="106"/>
      <c r="H216" s="106"/>
      <c r="I216" s="106"/>
      <c r="J216" s="106"/>
      <c r="K216" s="107"/>
      <c r="L216" s="104"/>
      <c r="M216" s="83">
        <v>5</v>
      </c>
      <c r="N216" s="47" t="str">
        <f>IF(L216="NA","",
IF(L216="Yes",5,
IF(L216="Partial",4,
IF(L216="In Progress",3,
IF(L216="Not clarified",2,
IF(L216="No",0,""))))))</f>
        <v/>
      </c>
      <c r="O216" s="47" t="str">
        <f>IF(N216="","",N216*M216)</f>
        <v/>
      </c>
      <c r="P216" s="227"/>
      <c r="Q216" s="164"/>
      <c r="R216" s="213"/>
      <c r="S216" s="212"/>
    </row>
    <row r="217" spans="1:19" ht="14.45" customHeight="1">
      <c r="A217" s="59"/>
      <c r="B217" s="4"/>
      <c r="C217" s="4"/>
      <c r="D217" s="124"/>
      <c r="E217" s="213"/>
      <c r="F217" s="213"/>
      <c r="G217" s="213"/>
      <c r="H217" s="213"/>
      <c r="I217" s="213"/>
      <c r="J217" s="213"/>
      <c r="K217" s="212"/>
      <c r="L217" s="2"/>
      <c r="M217" s="47"/>
      <c r="N217" s="47" t="str">
        <f>IF(L217="NA","",
IF(L217="Yes",5,
IF(L217="Partial",4,
IF(L217="In Progress",3,
IF(L217="Not clarified",2,
IF(L217="No",0,""))))))</f>
        <v/>
      </c>
      <c r="O217" s="47" t="str">
        <f>IF(N217="","",N217*M217)</f>
        <v/>
      </c>
      <c r="P217" s="88"/>
      <c r="Q217" s="121"/>
      <c r="R217" s="213"/>
      <c r="S217" s="212"/>
    </row>
    <row r="218" spans="1:19" ht="14.45" customHeight="1">
      <c r="A218" s="130">
        <v>15</v>
      </c>
      <c r="B218" s="129" t="s">
        <v>242</v>
      </c>
      <c r="C218" s="129" t="s">
        <v>243</v>
      </c>
      <c r="D218" s="122" t="s">
        <v>244</v>
      </c>
      <c r="E218" s="213"/>
      <c r="F218" s="213"/>
      <c r="G218" s="213"/>
      <c r="H218" s="213"/>
      <c r="I218" s="213"/>
      <c r="J218" s="213"/>
      <c r="K218" s="212"/>
      <c r="L218" s="2"/>
      <c r="M218" s="83">
        <v>5</v>
      </c>
      <c r="N218" s="47" t="str">
        <f>IF(L218="NA","",
IF(L218="Yes",5,
IF(L218="Partial",4,
IF(L218="In Progress",3,
IF(L218="Not clarified",2,
IF(L218="No",0,""))))))</f>
        <v/>
      </c>
      <c r="O218" s="47" t="str">
        <f>IF(N218="","",N218*M218)</f>
        <v/>
      </c>
      <c r="P218" s="127" t="str">
        <f>IFERROR(AVERAGE(O218:O224),"")</f>
        <v/>
      </c>
      <c r="Q218" s="141"/>
      <c r="R218" s="213"/>
      <c r="S218" s="212"/>
    </row>
    <row r="219" spans="1:19" ht="14.45" customHeight="1">
      <c r="A219" s="222"/>
      <c r="B219" s="222"/>
      <c r="C219" s="222"/>
      <c r="D219" s="122" t="s">
        <v>245</v>
      </c>
      <c r="E219" s="213"/>
      <c r="F219" s="213"/>
      <c r="G219" s="213"/>
      <c r="H219" s="213"/>
      <c r="I219" s="213"/>
      <c r="J219" s="213"/>
      <c r="K219" s="212"/>
      <c r="L219" s="2"/>
      <c r="M219" s="83">
        <v>5</v>
      </c>
      <c r="N219" s="47" t="str">
        <f>IF(L219="NA","",
IF(L219="Yes",5,
IF(L219="Partial",4,
IF(L219="In Progress",3,
IF(L219="Not clarified",2,
IF(L219="No",0,""))))))</f>
        <v/>
      </c>
      <c r="O219" s="47" t="str">
        <f>IF(N219="","",N219*M219)</f>
        <v/>
      </c>
      <c r="P219" s="223"/>
      <c r="Q219" s="141"/>
      <c r="R219" s="213"/>
      <c r="S219" s="212"/>
    </row>
    <row r="220" spans="1:19" ht="14.45" customHeight="1">
      <c r="A220" s="222"/>
      <c r="B220" s="222"/>
      <c r="C220" s="222"/>
      <c r="D220" s="122" t="s">
        <v>246</v>
      </c>
      <c r="E220" s="213"/>
      <c r="F220" s="213"/>
      <c r="G220" s="213"/>
      <c r="H220" s="213"/>
      <c r="I220" s="213"/>
      <c r="J220" s="213"/>
      <c r="K220" s="212"/>
      <c r="L220" s="2"/>
      <c r="M220" s="83">
        <v>4</v>
      </c>
      <c r="N220" s="47" t="str">
        <f>IF(L220="NA","",
IF(L220="Yes",5,
IF(L220="Partial",4,
IF(L220="In Progress",3,
IF(L220="Not clarified",2,
IF(L220="No",0,""))))))</f>
        <v/>
      </c>
      <c r="O220" s="47" t="str">
        <f>IF(N220="","",N220*M220)</f>
        <v/>
      </c>
      <c r="P220" s="223"/>
      <c r="Q220" s="228"/>
      <c r="R220" s="213"/>
      <c r="S220" s="212"/>
    </row>
    <row r="221" spans="1:19" s="72" customFormat="1" ht="48" customHeight="1">
      <c r="A221" s="222"/>
      <c r="B221" s="222"/>
      <c r="C221" s="222"/>
      <c r="D221" s="136" t="s">
        <v>247</v>
      </c>
      <c r="E221" s="213"/>
      <c r="F221" s="213"/>
      <c r="G221" s="213"/>
      <c r="H221" s="213"/>
      <c r="I221" s="213"/>
      <c r="J221" s="213"/>
      <c r="K221" s="212"/>
      <c r="L221" s="104"/>
      <c r="M221" s="83">
        <v>5</v>
      </c>
      <c r="N221" s="47" t="str">
        <f>IF(L221="NA","",
IF(L221="Yes",5,
IF(L221="Partial",4,
IF(L221="In Progress",3,
IF(L221="Not clarified",2,
IF(L221="No",0,""))))))</f>
        <v/>
      </c>
      <c r="O221" s="47" t="str">
        <f>IF(N221="","",N221*M221)</f>
        <v/>
      </c>
      <c r="P221" s="223"/>
      <c r="Q221" s="131"/>
      <c r="R221" s="213"/>
      <c r="S221" s="212"/>
    </row>
    <row r="222" spans="1:19" ht="14.45" customHeight="1">
      <c r="A222" s="222"/>
      <c r="B222" s="222"/>
      <c r="C222" s="222"/>
      <c r="D222" s="123" t="s">
        <v>248</v>
      </c>
      <c r="E222" s="213"/>
      <c r="F222" s="213"/>
      <c r="G222" s="213"/>
      <c r="H222" s="213"/>
      <c r="I222" s="213"/>
      <c r="J222" s="213"/>
      <c r="K222" s="212"/>
      <c r="L222" s="2"/>
      <c r="M222" s="83">
        <v>5</v>
      </c>
      <c r="N222" s="47" t="str">
        <f>IF(L222="NA","",
IF(L222="Yes",5,
IF(L222="Partial",4,
IF(L222="In Progress",3,
IF(L222="Not clarified",2,
IF(L222="No",0,""))))))</f>
        <v/>
      </c>
      <c r="O222" s="47" t="str">
        <f>IF(N222="","",N222*M222)</f>
        <v/>
      </c>
      <c r="P222" s="223"/>
      <c r="Q222" s="228"/>
      <c r="R222" s="213"/>
      <c r="S222" s="212"/>
    </row>
    <row r="223" spans="1:19" ht="14.45" customHeight="1">
      <c r="A223" s="222"/>
      <c r="B223" s="222"/>
      <c r="C223" s="222"/>
      <c r="D223" s="123" t="s">
        <v>249</v>
      </c>
      <c r="E223" s="213"/>
      <c r="F223" s="213"/>
      <c r="G223" s="213"/>
      <c r="H223" s="213"/>
      <c r="I223" s="213"/>
      <c r="J223" s="213"/>
      <c r="K223" s="212"/>
      <c r="L223" s="2"/>
      <c r="M223" s="83">
        <v>4</v>
      </c>
      <c r="N223" s="47" t="str">
        <f>IF(L223="NA","",
IF(L223="Yes",5,
IF(L223="Partial",4,
IF(L223="In Progress",3,
IF(L223="Not clarified",2,
IF(L223="No",0,""))))))</f>
        <v/>
      </c>
      <c r="O223" s="47" t="str">
        <f>IF(N223="","",N223*M223)</f>
        <v/>
      </c>
      <c r="P223" s="223"/>
      <c r="Q223" s="228"/>
      <c r="R223" s="213"/>
      <c r="S223" s="212"/>
    </row>
    <row r="224" spans="1:19" s="72" customFormat="1" ht="33.6" customHeight="1">
      <c r="A224" s="226"/>
      <c r="B224" s="226"/>
      <c r="C224" s="226"/>
      <c r="D224" s="136" t="s">
        <v>250</v>
      </c>
      <c r="E224" s="213"/>
      <c r="F224" s="213"/>
      <c r="G224" s="213"/>
      <c r="H224" s="213"/>
      <c r="I224" s="213"/>
      <c r="J224" s="213"/>
      <c r="K224" s="212"/>
      <c r="L224" s="104"/>
      <c r="M224" s="83">
        <v>4</v>
      </c>
      <c r="N224" s="47" t="str">
        <f>IF(L224="NA","",
IF(L224="Yes",5,
IF(L224="Partial",4,
IF(L224="In Progress",3,
IF(L224="Not clarified",2,
IF(L224="No",0,""))))))</f>
        <v/>
      </c>
      <c r="O224" s="47" t="str">
        <f>IF(N224="","",N224*M224)</f>
        <v/>
      </c>
      <c r="P224" s="227"/>
      <c r="Q224" s="142"/>
      <c r="R224" s="213"/>
      <c r="S224" s="212"/>
    </row>
    <row r="225" spans="1:19" s="82" customFormat="1" ht="14.45" customHeight="1">
      <c r="A225" s="76"/>
      <c r="B225" s="77"/>
      <c r="C225" s="77"/>
      <c r="D225" s="161"/>
      <c r="E225" s="213"/>
      <c r="F225" s="213"/>
      <c r="G225" s="213"/>
      <c r="H225" s="213"/>
      <c r="I225" s="213"/>
      <c r="J225" s="213"/>
      <c r="K225" s="212"/>
      <c r="L225" s="42"/>
      <c r="M225" s="78"/>
      <c r="N225" s="47" t="str">
        <f>IF(L225="NA","",
IF(L225="Yes",5,
IF(L225="Partial",4,
IF(L225="In Progress",3,
IF(L225="Not clarified",2,
IF(L225="No",0,""))))))</f>
        <v/>
      </c>
      <c r="O225" s="47" t="str">
        <f>IF(N225="","",N225*M225)</f>
        <v/>
      </c>
      <c r="P225" s="79"/>
      <c r="Q225" s="80"/>
      <c r="R225" s="80"/>
      <c r="S225" s="81"/>
    </row>
    <row r="226" spans="1:19" ht="14.45" customHeight="1">
      <c r="A226" s="168">
        <v>16</v>
      </c>
      <c r="B226" s="168" t="s">
        <v>251</v>
      </c>
      <c r="C226" s="130" t="s">
        <v>252</v>
      </c>
      <c r="D226" s="122" t="s">
        <v>253</v>
      </c>
      <c r="E226" s="213"/>
      <c r="F226" s="213"/>
      <c r="G226" s="213"/>
      <c r="H226" s="213"/>
      <c r="I226" s="213"/>
      <c r="J226" s="213"/>
      <c r="K226" s="212"/>
      <c r="L226" s="2"/>
      <c r="M226" s="83">
        <v>5</v>
      </c>
      <c r="N226" s="47" t="str">
        <f>IF(L226="NA","",
IF(L226="Yes",5,
IF(L226="Partial",4,
IF(L226="In Progress",3,
IF(L226="Not clarified",2,
IF(L226="No",0,""))))))</f>
        <v/>
      </c>
      <c r="O226" s="47" t="str">
        <f>IF(N226="","",N226*M226)</f>
        <v/>
      </c>
      <c r="P226" s="127" t="str">
        <f>IFERROR(AVERAGE(O226:O231),"")</f>
        <v/>
      </c>
      <c r="Q226" s="206"/>
      <c r="R226" s="242"/>
      <c r="S226" s="243"/>
    </row>
    <row r="227" spans="1:19" ht="14.45" customHeight="1">
      <c r="A227" s="222"/>
      <c r="B227" s="222"/>
      <c r="C227" s="222"/>
      <c r="D227" s="122" t="s">
        <v>254</v>
      </c>
      <c r="E227" s="213"/>
      <c r="F227" s="213"/>
      <c r="G227" s="213"/>
      <c r="H227" s="213"/>
      <c r="I227" s="213"/>
      <c r="J227" s="213"/>
      <c r="K227" s="212"/>
      <c r="L227" s="2"/>
      <c r="M227" s="83">
        <v>5</v>
      </c>
      <c r="N227" s="47" t="str">
        <f>IF(L227="NA","",
IF(L227="Yes",5,
IF(L227="Partial",4,
IF(L227="In Progress",3,
IF(L227="Not clarified",2,
IF(L227="No",0,""))))))</f>
        <v/>
      </c>
      <c r="O227" s="47" t="str">
        <f>IF(N227="","",N227*M227)</f>
        <v/>
      </c>
      <c r="P227" s="223"/>
      <c r="Q227" s="244"/>
      <c r="R227" s="245"/>
      <c r="S227" s="246"/>
    </row>
    <row r="228" spans="1:19" ht="14.45" customHeight="1">
      <c r="A228" s="222"/>
      <c r="B228" s="222"/>
      <c r="C228" s="222"/>
      <c r="D228" s="122" t="s">
        <v>255</v>
      </c>
      <c r="E228" s="213"/>
      <c r="F228" s="213"/>
      <c r="G228" s="213"/>
      <c r="H228" s="213"/>
      <c r="I228" s="213"/>
      <c r="J228" s="213"/>
      <c r="K228" s="212"/>
      <c r="L228" s="2"/>
      <c r="M228" s="83">
        <v>5</v>
      </c>
      <c r="N228" s="47" t="str">
        <f>IF(L228="NA","",
IF(L228="Yes",5,
IF(L228="Partial",4,
IF(L228="In Progress",3,
IF(L228="Not clarified",2,
IF(L228="No",0,""))))))</f>
        <v/>
      </c>
      <c r="O228" s="47" t="str">
        <f>IF(N228="","",N228*M228)</f>
        <v/>
      </c>
      <c r="P228" s="223"/>
      <c r="Q228" s="244"/>
      <c r="R228" s="245"/>
      <c r="S228" s="246"/>
    </row>
    <row r="229" spans="1:19" ht="14.45" customHeight="1">
      <c r="A229" s="222"/>
      <c r="B229" s="222"/>
      <c r="C229" s="222"/>
      <c r="D229" s="122" t="s">
        <v>256</v>
      </c>
      <c r="E229" s="213"/>
      <c r="F229" s="213"/>
      <c r="G229" s="213"/>
      <c r="H229" s="213"/>
      <c r="I229" s="213"/>
      <c r="J229" s="213"/>
      <c r="K229" s="212"/>
      <c r="L229" s="2"/>
      <c r="M229" s="83">
        <v>5</v>
      </c>
      <c r="N229" s="47" t="str">
        <f>IF(L229="NA","",
IF(L229="Yes",5,
IF(L229="Partial",4,
IF(L229="In Progress",3,
IF(L229="Not clarified",2,
IF(L229="No",0,""))))))</f>
        <v/>
      </c>
      <c r="O229" s="47" t="str">
        <f>IF(N229="","",N229*M229)</f>
        <v/>
      </c>
      <c r="P229" s="223"/>
      <c r="Q229" s="244"/>
      <c r="R229" s="245"/>
      <c r="S229" s="246"/>
    </row>
    <row r="230" spans="1:19" ht="14.45" customHeight="1">
      <c r="A230" s="222"/>
      <c r="B230" s="222"/>
      <c r="C230" s="222"/>
      <c r="D230" s="122" t="s">
        <v>257</v>
      </c>
      <c r="E230" s="213"/>
      <c r="F230" s="213"/>
      <c r="G230" s="213"/>
      <c r="H230" s="213"/>
      <c r="I230" s="213"/>
      <c r="J230" s="213"/>
      <c r="K230" s="212"/>
      <c r="L230" s="2"/>
      <c r="M230" s="83">
        <v>4</v>
      </c>
      <c r="N230" s="47" t="str">
        <f>IF(L230="NA","",
IF(L230="Yes",5,
IF(L230="Partial",4,
IF(L230="In Progress",3,
IF(L230="Not clarified",2,
IF(L230="No",0,""))))))</f>
        <v/>
      </c>
      <c r="O230" s="47" t="str">
        <f>IF(N230="","",N230*M230)</f>
        <v/>
      </c>
      <c r="P230" s="223"/>
      <c r="Q230" s="244"/>
      <c r="R230" s="245"/>
      <c r="S230" s="246"/>
    </row>
    <row r="231" spans="1:19" ht="14.45" customHeight="1">
      <c r="A231" s="222"/>
      <c r="B231" s="222"/>
      <c r="C231" s="226"/>
      <c r="D231" s="122" t="s">
        <v>258</v>
      </c>
      <c r="E231" s="213"/>
      <c r="F231" s="213"/>
      <c r="G231" s="213"/>
      <c r="H231" s="213"/>
      <c r="I231" s="213"/>
      <c r="J231" s="213"/>
      <c r="K231" s="212"/>
      <c r="L231" s="2"/>
      <c r="M231" s="83">
        <v>4</v>
      </c>
      <c r="N231" s="47" t="str">
        <f>IF(L231="NA","",
IF(L231="Yes",5,
IF(L231="Partial",4,
IF(L231="In Progress",3,
IF(L231="Not clarified",2,
IF(L231="No",0,""))))))</f>
        <v/>
      </c>
      <c r="O231" s="47" t="str">
        <f>IF(N231="","",N231*M231)</f>
        <v/>
      </c>
      <c r="P231" s="227"/>
      <c r="Q231" s="247"/>
      <c r="R231" s="248"/>
      <c r="S231" s="249"/>
    </row>
    <row r="232" spans="1:19" ht="14.45" customHeight="1">
      <c r="A232" s="222"/>
      <c r="B232" s="222"/>
      <c r="C232" s="4"/>
      <c r="D232" s="124"/>
      <c r="E232" s="213"/>
      <c r="F232" s="213"/>
      <c r="G232" s="213"/>
      <c r="H232" s="213"/>
      <c r="I232" s="213"/>
      <c r="J232" s="213"/>
      <c r="K232" s="212"/>
      <c r="L232" s="2"/>
      <c r="M232" s="47"/>
      <c r="N232" s="47" t="str">
        <f>IF(L232="NA","",
IF(L232="Yes",5,
IF(L232="Partial",4,
IF(L232="In Progress",3,
IF(L232="Not clarified",2,
IF(L232="No",0,""))))))</f>
        <v/>
      </c>
      <c r="O232" s="47" t="str">
        <f>IF(N232="","",N232*M232)</f>
        <v/>
      </c>
      <c r="P232" s="54"/>
      <c r="Q232" s="121"/>
      <c r="R232" s="213"/>
      <c r="S232" s="212"/>
    </row>
    <row r="233" spans="1:19" ht="14.45" customHeight="1">
      <c r="A233" s="222"/>
      <c r="B233" s="222"/>
      <c r="C233" s="130" t="s">
        <v>259</v>
      </c>
      <c r="D233" s="122" t="s">
        <v>260</v>
      </c>
      <c r="E233" s="213"/>
      <c r="F233" s="213"/>
      <c r="G233" s="213"/>
      <c r="H233" s="213"/>
      <c r="I233" s="213"/>
      <c r="J233" s="213"/>
      <c r="K233" s="212"/>
      <c r="L233" s="2"/>
      <c r="M233" s="83">
        <v>5</v>
      </c>
      <c r="N233" s="47" t="str">
        <f>IF(L233="NA","",
IF(L233="Yes",5,
IF(L233="Partial",4,
IF(L233="In Progress",3,
IF(L233="Not clarified",2,
IF(L233="No",0,""))))))</f>
        <v/>
      </c>
      <c r="O233" s="47" t="str">
        <f>IF(N233="","",N233*M233)</f>
        <v/>
      </c>
      <c r="P233" s="127" t="str">
        <f>IFERROR(AVERAGE(O233:O237),"")</f>
        <v/>
      </c>
      <c r="Q233" s="121"/>
      <c r="R233" s="213"/>
      <c r="S233" s="212"/>
    </row>
    <row r="234" spans="1:19" ht="14.45" customHeight="1">
      <c r="A234" s="222"/>
      <c r="B234" s="222"/>
      <c r="C234" s="222"/>
      <c r="D234" s="122" t="s">
        <v>261</v>
      </c>
      <c r="E234" s="213"/>
      <c r="F234" s="213"/>
      <c r="G234" s="213"/>
      <c r="H234" s="213"/>
      <c r="I234" s="213"/>
      <c r="J234" s="213"/>
      <c r="K234" s="212"/>
      <c r="L234" s="2"/>
      <c r="M234" s="83">
        <v>5</v>
      </c>
      <c r="N234" s="47" t="str">
        <f>IF(L234="NA","",
IF(L234="Yes",5,
IF(L234="Partial",4,
IF(L234="In Progress",3,
IF(L234="Not clarified",2,
IF(L234="No",0,""))))))</f>
        <v/>
      </c>
      <c r="O234" s="47" t="str">
        <f>IF(N234="","",N234*M234)</f>
        <v/>
      </c>
      <c r="P234" s="223"/>
      <c r="Q234" s="121"/>
      <c r="R234" s="213"/>
      <c r="S234" s="212"/>
    </row>
    <row r="235" spans="1:19" ht="14.45" customHeight="1">
      <c r="A235" s="222"/>
      <c r="B235" s="222"/>
      <c r="C235" s="222"/>
      <c r="D235" s="122" t="s">
        <v>262</v>
      </c>
      <c r="E235" s="213"/>
      <c r="F235" s="213"/>
      <c r="G235" s="213"/>
      <c r="H235" s="213"/>
      <c r="I235" s="213"/>
      <c r="J235" s="213"/>
      <c r="K235" s="212"/>
      <c r="L235" s="2"/>
      <c r="M235" s="83">
        <v>5</v>
      </c>
      <c r="N235" s="47" t="str">
        <f>IF(L235="NA","",
IF(L235="Yes",5,
IF(L235="Partial",4,
IF(L235="In Progress",3,
IF(L235="Not clarified",2,
IF(L235="No",0,""))))))</f>
        <v/>
      </c>
      <c r="O235" s="47" t="str">
        <f>IF(N235="","",N235*M235)</f>
        <v/>
      </c>
      <c r="P235" s="223"/>
      <c r="Q235" s="121"/>
      <c r="R235" s="213"/>
      <c r="S235" s="212"/>
    </row>
    <row r="236" spans="1:19" ht="14.45" customHeight="1">
      <c r="A236" s="222"/>
      <c r="B236" s="222"/>
      <c r="C236" s="222"/>
      <c r="D236" s="122" t="s">
        <v>263</v>
      </c>
      <c r="E236" s="213"/>
      <c r="F236" s="213"/>
      <c r="G236" s="213"/>
      <c r="H236" s="213"/>
      <c r="I236" s="213"/>
      <c r="J236" s="213"/>
      <c r="K236" s="212"/>
      <c r="L236" s="2"/>
      <c r="M236" s="83">
        <v>5</v>
      </c>
      <c r="N236" s="47" t="str">
        <f>IF(L236="NA","",
IF(L236="Yes",5,
IF(L236="Partial",4,
IF(L236="In Progress",3,
IF(L236="Not clarified",2,
IF(L236="No",0,""))))))</f>
        <v/>
      </c>
      <c r="O236" s="47" t="str">
        <f>IF(N236="","",N236*M236)</f>
        <v/>
      </c>
      <c r="P236" s="223"/>
      <c r="Q236" s="121"/>
      <c r="R236" s="213"/>
      <c r="S236" s="212"/>
    </row>
    <row r="237" spans="1:19" ht="14.45" customHeight="1">
      <c r="A237" s="222"/>
      <c r="B237" s="222"/>
      <c r="C237" s="226"/>
      <c r="D237" s="122" t="s">
        <v>264</v>
      </c>
      <c r="E237" s="213"/>
      <c r="F237" s="213"/>
      <c r="G237" s="213"/>
      <c r="H237" s="213"/>
      <c r="I237" s="213"/>
      <c r="J237" s="213"/>
      <c r="K237" s="212"/>
      <c r="L237" s="2"/>
      <c r="M237" s="83">
        <v>4</v>
      </c>
      <c r="N237" s="47" t="str">
        <f>IF(L237="NA","",
IF(L237="Yes",5,
IF(L237="Partial",4,
IF(L237="In Progress",3,
IF(L237="Not clarified",2,
IF(L237="No",0,""))))))</f>
        <v/>
      </c>
      <c r="O237" s="47" t="str">
        <f>IF(N237="","",N237*M237)</f>
        <v/>
      </c>
      <c r="P237" s="227"/>
      <c r="Q237" s="121"/>
      <c r="R237" s="213"/>
      <c r="S237" s="212"/>
    </row>
    <row r="238" spans="1:19" ht="14.45" customHeight="1">
      <c r="A238" s="222"/>
      <c r="B238" s="222"/>
      <c r="C238" s="4"/>
      <c r="D238" s="122"/>
      <c r="E238" s="213"/>
      <c r="F238" s="213"/>
      <c r="G238" s="213"/>
      <c r="H238" s="213"/>
      <c r="I238" s="213"/>
      <c r="J238" s="213"/>
      <c r="K238" s="212"/>
      <c r="L238" s="2"/>
      <c r="M238" s="47"/>
      <c r="N238" s="47" t="str">
        <f>IF(L238="NA","",
IF(L238="Yes",5,
IF(L238="Partial",4,
IF(L238="In Progress",3,
IF(L238="Not clarified",2,
IF(L238="No",0,""))))))</f>
        <v/>
      </c>
      <c r="O238" s="47" t="str">
        <f>IF(N238="","",N238*M238)</f>
        <v/>
      </c>
      <c r="P238" s="54"/>
      <c r="Q238" s="121"/>
      <c r="R238" s="213"/>
      <c r="S238" s="212"/>
    </row>
    <row r="239" spans="1:19" ht="14.45" customHeight="1">
      <c r="A239" s="222"/>
      <c r="B239" s="222"/>
      <c r="C239" s="130" t="s">
        <v>265</v>
      </c>
      <c r="D239" s="123" t="s">
        <v>266</v>
      </c>
      <c r="E239" s="213"/>
      <c r="F239" s="213"/>
      <c r="G239" s="213"/>
      <c r="H239" s="213"/>
      <c r="I239" s="213"/>
      <c r="J239" s="213"/>
      <c r="K239" s="212"/>
      <c r="L239" s="2"/>
      <c r="M239" s="83">
        <v>5</v>
      </c>
      <c r="N239" s="47" t="str">
        <f>IF(L239="NA","",
IF(L239="Yes",5,
IF(L239="Partial",4,
IF(L239="In Progress",3,
IF(L239="Not clarified",2,
IF(L239="No",0,""))))))</f>
        <v/>
      </c>
      <c r="O239" s="47" t="str">
        <f>IF(N239="","",N239*M239)</f>
        <v/>
      </c>
      <c r="P239" s="127" t="str">
        <f>IFERROR(AVERAGE(O239:O240),"")</f>
        <v/>
      </c>
      <c r="Q239" s="121"/>
      <c r="R239" s="213"/>
      <c r="S239" s="212"/>
    </row>
    <row r="240" spans="1:19" ht="14.45" customHeight="1">
      <c r="A240" s="222"/>
      <c r="B240" s="222"/>
      <c r="C240" s="226"/>
      <c r="D240" s="123" t="s">
        <v>267</v>
      </c>
      <c r="E240" s="213"/>
      <c r="F240" s="213"/>
      <c r="G240" s="213"/>
      <c r="H240" s="213"/>
      <c r="I240" s="213"/>
      <c r="J240" s="213"/>
      <c r="K240" s="212"/>
      <c r="L240" s="2"/>
      <c r="M240" s="83">
        <v>4</v>
      </c>
      <c r="N240" s="47" t="str">
        <f>IF(L240="NA","",
IF(L240="Yes",5,
IF(L240="Partial",4,
IF(L240="In Progress",3,
IF(L240="Not clarified",2,
IF(L240="No",0,""))))))</f>
        <v/>
      </c>
      <c r="O240" s="47" t="str">
        <f>IF(N240="","",N240*M240)</f>
        <v/>
      </c>
      <c r="P240" s="227"/>
      <c r="Q240" s="121"/>
      <c r="R240" s="213"/>
      <c r="S240" s="212"/>
    </row>
    <row r="241" spans="1:19" ht="14.45" customHeight="1">
      <c r="A241" s="101"/>
      <c r="B241" s="102"/>
      <c r="C241" s="100"/>
      <c r="D241" s="16"/>
      <c r="E241" s="17"/>
      <c r="F241" s="17"/>
      <c r="G241" s="17"/>
      <c r="H241" s="17"/>
      <c r="I241" s="17"/>
      <c r="J241" s="17"/>
      <c r="K241" s="18"/>
      <c r="L241" s="2"/>
      <c r="M241" s="83"/>
      <c r="N241" s="47"/>
      <c r="O241" s="47"/>
      <c r="P241" s="54"/>
      <c r="Q241" s="121"/>
      <c r="R241" s="213"/>
      <c r="S241" s="212"/>
    </row>
    <row r="242" spans="1:19" ht="14.45" customHeight="1">
      <c r="A242" s="175">
        <v>17</v>
      </c>
      <c r="B242" s="183" t="s">
        <v>268</v>
      </c>
      <c r="C242" s="130" t="s">
        <v>269</v>
      </c>
      <c r="D242" s="122" t="s">
        <v>270</v>
      </c>
      <c r="E242" s="213"/>
      <c r="F242" s="213"/>
      <c r="G242" s="213"/>
      <c r="H242" s="213"/>
      <c r="I242" s="213"/>
      <c r="J242" s="213"/>
      <c r="K242" s="212"/>
      <c r="L242" s="2"/>
      <c r="M242" s="83">
        <v>5</v>
      </c>
      <c r="N242" s="47" t="str">
        <f>IF(L242="NA","",
IF(L242="Yes",5,
IF(L242="Partial",4,
IF(L242="In Progress",3,
IF(L242="Not clarified",2,
IF(L242="No",0,""))))))</f>
        <v/>
      </c>
      <c r="O242" s="47" t="str">
        <f>IF(N242="","",N242*M242)</f>
        <v/>
      </c>
      <c r="P242" s="127" t="str">
        <f>IFERROR(AVERAGE(O242:O245),"")</f>
        <v/>
      </c>
      <c r="Q242" s="121"/>
      <c r="R242" s="213"/>
      <c r="S242" s="212"/>
    </row>
    <row r="243" spans="1:19" ht="14.45" customHeight="1">
      <c r="A243" s="222"/>
      <c r="B243" s="222"/>
      <c r="C243" s="222"/>
      <c r="D243" s="122" t="s">
        <v>271</v>
      </c>
      <c r="E243" s="213"/>
      <c r="F243" s="213"/>
      <c r="G243" s="213"/>
      <c r="H243" s="213"/>
      <c r="I243" s="213"/>
      <c r="J243" s="213"/>
      <c r="K243" s="212"/>
      <c r="L243" s="2"/>
      <c r="M243" s="83">
        <v>4</v>
      </c>
      <c r="N243" s="47" t="str">
        <f>IF(L243="NA","",
IF(L243="Yes",5,
IF(L243="Partial",4,
IF(L243="In Progress",3,
IF(L243="Not clarified",2,
IF(L243="No",0,""))))))</f>
        <v/>
      </c>
      <c r="O243" s="47" t="str">
        <f>IF(N243="","",N243*M243)</f>
        <v/>
      </c>
      <c r="P243" s="223"/>
      <c r="Q243" s="121"/>
      <c r="R243" s="213"/>
      <c r="S243" s="212"/>
    </row>
    <row r="244" spans="1:19" ht="14.45" customHeight="1">
      <c r="A244" s="222"/>
      <c r="B244" s="222"/>
      <c r="C244" s="222"/>
      <c r="D244" s="122" t="s">
        <v>272</v>
      </c>
      <c r="E244" s="213"/>
      <c r="F244" s="213"/>
      <c r="G244" s="213"/>
      <c r="H244" s="213"/>
      <c r="I244" s="213"/>
      <c r="J244" s="213"/>
      <c r="K244" s="212"/>
      <c r="L244" s="2"/>
      <c r="M244" s="83">
        <v>5</v>
      </c>
      <c r="N244" s="47" t="str">
        <f>IF(L244="NA","",
IF(L244="Yes",5,
IF(L244="Partial",4,
IF(L244="In Progress",3,
IF(L244="Not clarified",2,
IF(L244="No",0,""))))))</f>
        <v/>
      </c>
      <c r="O244" s="47" t="str">
        <f>IF(N244="","",N244*M244)</f>
        <v/>
      </c>
      <c r="P244" s="223"/>
      <c r="Q244" s="121"/>
      <c r="R244" s="213"/>
      <c r="S244" s="212"/>
    </row>
    <row r="245" spans="1:19" ht="14.45" customHeight="1">
      <c r="A245" s="226"/>
      <c r="B245" s="226"/>
      <c r="C245" s="226"/>
      <c r="D245" s="122" t="s">
        <v>273</v>
      </c>
      <c r="E245" s="213"/>
      <c r="F245" s="213"/>
      <c r="G245" s="213"/>
      <c r="H245" s="213"/>
      <c r="I245" s="213"/>
      <c r="J245" s="213"/>
      <c r="K245" s="212"/>
      <c r="L245" s="2"/>
      <c r="M245" s="83">
        <v>5</v>
      </c>
      <c r="N245" s="47" t="str">
        <f>IF(L245="NA","",
IF(L245="Yes",5,
IF(L245="Partial",4,
IF(L245="In Progress",3,
IF(L245="Not clarified",2,
IF(L245="No",0,""))))))</f>
        <v/>
      </c>
      <c r="O245" s="47" t="str">
        <f>IF(N245="","",N245*M245)</f>
        <v/>
      </c>
      <c r="P245" s="227"/>
      <c r="Q245" s="121"/>
      <c r="R245" s="213"/>
      <c r="S245" s="212"/>
    </row>
    <row r="246" spans="1:19" ht="14.45" customHeight="1">
      <c r="A246" s="59"/>
      <c r="B246" s="4"/>
      <c r="C246" s="4"/>
      <c r="D246" s="124"/>
      <c r="E246" s="213"/>
      <c r="F246" s="213"/>
      <c r="G246" s="213"/>
      <c r="H246" s="213"/>
      <c r="I246" s="213"/>
      <c r="J246" s="213"/>
      <c r="K246" s="212"/>
      <c r="L246" s="2"/>
      <c r="M246" s="47"/>
      <c r="N246" s="47" t="str">
        <f>IF(L246="NA","",
IF(L246="Yes",5,
IF(L246="Partial",4,
IF(L246="In Progress",3,
IF(L246="Not clarified",2,
IF(L246="No",0,""))))))</f>
        <v/>
      </c>
      <c r="O246" s="47" t="str">
        <f>IF(N246="","",N246*M246)</f>
        <v/>
      </c>
      <c r="P246" s="54"/>
      <c r="Q246" s="121"/>
      <c r="R246" s="213"/>
      <c r="S246" s="212"/>
    </row>
    <row r="247" spans="1:19" ht="14.45" customHeight="1">
      <c r="A247" s="130">
        <v>18</v>
      </c>
      <c r="B247" s="129" t="s">
        <v>274</v>
      </c>
      <c r="C247" s="129" t="s">
        <v>275</v>
      </c>
      <c r="D247" s="122" t="s">
        <v>276</v>
      </c>
      <c r="E247" s="213"/>
      <c r="F247" s="213"/>
      <c r="G247" s="213"/>
      <c r="H247" s="213"/>
      <c r="I247" s="213"/>
      <c r="J247" s="213"/>
      <c r="K247" s="212"/>
      <c r="L247" s="2"/>
      <c r="M247" s="83">
        <v>5</v>
      </c>
      <c r="N247" s="47" t="str">
        <f>IF(L247="NA","",
IF(L247="Yes",5,
IF(L247="Partial",4,
IF(L247="In Progress",3,
IF(L247="Not clarified",2,
IF(L247="No",0,""))))))</f>
        <v/>
      </c>
      <c r="O247" s="47" t="str">
        <f>IF(N247="","",N247*M247)</f>
        <v/>
      </c>
      <c r="P247" s="127" t="str">
        <f>IFERROR(AVERAGE(O247:O253),"")</f>
        <v/>
      </c>
      <c r="Q247" s="142"/>
      <c r="R247" s="229"/>
      <c r="S247" s="230"/>
    </row>
    <row r="248" spans="1:19" ht="14.45" customHeight="1">
      <c r="A248" s="222"/>
      <c r="B248" s="222"/>
      <c r="C248" s="222"/>
      <c r="D248" s="122" t="s">
        <v>277</v>
      </c>
      <c r="E248" s="213"/>
      <c r="F248" s="213"/>
      <c r="G248" s="213"/>
      <c r="H248" s="213"/>
      <c r="I248" s="213"/>
      <c r="J248" s="213"/>
      <c r="K248" s="212"/>
      <c r="L248" s="2"/>
      <c r="M248" s="83">
        <v>5</v>
      </c>
      <c r="N248" s="47" t="str">
        <f>IF(L248="NA","",
IF(L248="Yes",5,
IF(L248="Partial",4,
IF(L248="In Progress",3,
IF(L248="Not clarified",2,
IF(L248="No",0,""))))))</f>
        <v/>
      </c>
      <c r="O248" s="47" t="str">
        <f>IF(N248="","",N248*M248)</f>
        <v/>
      </c>
      <c r="P248" s="223"/>
      <c r="Q248" s="235"/>
      <c r="R248" s="225"/>
      <c r="S248" s="236"/>
    </row>
    <row r="249" spans="1:19" ht="14.45" customHeight="1">
      <c r="A249" s="222"/>
      <c r="B249" s="222"/>
      <c r="C249" s="222"/>
      <c r="D249" s="122" t="s">
        <v>278</v>
      </c>
      <c r="E249" s="213"/>
      <c r="F249" s="213"/>
      <c r="G249" s="213"/>
      <c r="H249" s="213"/>
      <c r="I249" s="213"/>
      <c r="J249" s="213"/>
      <c r="K249" s="212"/>
      <c r="L249" s="2"/>
      <c r="M249" s="83">
        <v>5</v>
      </c>
      <c r="N249" s="47" t="str">
        <f>IF(L249="NA","",
IF(L249="Yes",5,
IF(L249="Partial",4,
IF(L249="In Progress",3,
IF(L249="Not clarified",2,
IF(L249="No",0,""))))))</f>
        <v/>
      </c>
      <c r="O249" s="47" t="str">
        <f>IF(N249="","",N249*M249)</f>
        <v/>
      </c>
      <c r="P249" s="223"/>
      <c r="Q249" s="235"/>
      <c r="R249" s="225"/>
      <c r="S249" s="236"/>
    </row>
    <row r="250" spans="1:19" ht="14.45" customHeight="1">
      <c r="A250" s="222"/>
      <c r="B250" s="222"/>
      <c r="C250" s="222"/>
      <c r="D250" s="123" t="s">
        <v>279</v>
      </c>
      <c r="E250" s="213"/>
      <c r="F250" s="213"/>
      <c r="G250" s="213"/>
      <c r="H250" s="213"/>
      <c r="I250" s="213"/>
      <c r="J250" s="213"/>
      <c r="K250" s="212"/>
      <c r="L250" s="2"/>
      <c r="M250" s="83">
        <v>5</v>
      </c>
      <c r="N250" s="47" t="str">
        <f>IF(L250="NA","",
IF(L250="Yes",5,
IF(L250="Partial",4,
IF(L250="In Progress",3,
IF(L250="Not clarified",2,
IF(L250="No",0,""))))))</f>
        <v/>
      </c>
      <c r="O250" s="47" t="str">
        <f>IF(N250="","",N250*M250)</f>
        <v/>
      </c>
      <c r="P250" s="223"/>
      <c r="Q250" s="235"/>
      <c r="R250" s="225"/>
      <c r="S250" s="236"/>
    </row>
    <row r="251" spans="1:19" ht="14.45" customHeight="1">
      <c r="A251" s="222"/>
      <c r="B251" s="222"/>
      <c r="C251" s="222"/>
      <c r="D251" s="123" t="s">
        <v>280</v>
      </c>
      <c r="E251" s="213"/>
      <c r="F251" s="213"/>
      <c r="G251" s="213"/>
      <c r="H251" s="213"/>
      <c r="I251" s="213"/>
      <c r="J251" s="213"/>
      <c r="K251" s="212"/>
      <c r="L251" s="2"/>
      <c r="M251" s="83">
        <v>5</v>
      </c>
      <c r="N251" s="47" t="str">
        <f>IF(L251="NA","",
IF(L251="Yes",5,
IF(L251="Partial",4,
IF(L251="In Progress",3,
IF(L251="Not clarified",2,
IF(L251="No",0,""))))))</f>
        <v/>
      </c>
      <c r="O251" s="47" t="str">
        <f>IF(N251="","",N251*M251)</f>
        <v/>
      </c>
      <c r="P251" s="223"/>
      <c r="Q251" s="235"/>
      <c r="R251" s="225"/>
      <c r="S251" s="236"/>
    </row>
    <row r="252" spans="1:19" ht="14.45" customHeight="1">
      <c r="A252" s="222"/>
      <c r="B252" s="222"/>
      <c r="C252" s="222"/>
      <c r="D252" s="123" t="s">
        <v>281</v>
      </c>
      <c r="E252" s="213"/>
      <c r="F252" s="213"/>
      <c r="G252" s="213"/>
      <c r="H252" s="213"/>
      <c r="I252" s="213"/>
      <c r="J252" s="213"/>
      <c r="K252" s="212"/>
      <c r="L252" s="2"/>
      <c r="M252" s="83">
        <v>5</v>
      </c>
      <c r="N252" s="47" t="str">
        <f>IF(L252="NA","",
IF(L252="Yes",5,
IF(L252="Partial",4,
IF(L252="In Progress",3,
IF(L252="Not clarified",2,
IF(L252="No",0,""))))))</f>
        <v/>
      </c>
      <c r="O252" s="47" t="str">
        <f>IF(N252="","",N252*M252)</f>
        <v/>
      </c>
      <c r="P252" s="223"/>
      <c r="Q252" s="235"/>
      <c r="R252" s="225"/>
      <c r="S252" s="236"/>
    </row>
    <row r="253" spans="1:19" ht="14.45" customHeight="1">
      <c r="A253" s="222"/>
      <c r="B253" s="222"/>
      <c r="C253" s="226"/>
      <c r="D253" s="123" t="s">
        <v>282</v>
      </c>
      <c r="E253" s="213"/>
      <c r="F253" s="213"/>
      <c r="G253" s="213"/>
      <c r="H253" s="213"/>
      <c r="I253" s="213"/>
      <c r="J253" s="213"/>
      <c r="K253" s="212"/>
      <c r="L253" s="2"/>
      <c r="M253" s="83">
        <v>4</v>
      </c>
      <c r="N253" s="47" t="str">
        <f>IF(L253="NA","",
IF(L253="Yes",5,
IF(L253="Partial",4,
IF(L253="In Progress",3,
IF(L253="Not clarified",2,
IF(L253="No",0,""))))))</f>
        <v/>
      </c>
      <c r="O253" s="47" t="str">
        <f>IF(N253="","",N253*M253)</f>
        <v/>
      </c>
      <c r="P253" s="227"/>
      <c r="Q253" s="231"/>
      <c r="R253" s="219"/>
      <c r="S253" s="220"/>
    </row>
    <row r="254" spans="1:19" s="19" customFormat="1" ht="14.45" customHeight="1">
      <c r="A254" s="222"/>
      <c r="B254" s="222"/>
      <c r="C254" s="23"/>
      <c r="D254" s="156"/>
      <c r="E254" s="213"/>
      <c r="F254" s="213"/>
      <c r="G254" s="213"/>
      <c r="H254" s="213"/>
      <c r="I254" s="213"/>
      <c r="J254" s="213"/>
      <c r="K254" s="212"/>
      <c r="L254" s="2"/>
      <c r="M254" s="47"/>
      <c r="N254" s="47" t="str">
        <f>IF(L254="NA","",
IF(L254="Yes",5,
IF(L254="Partial",4,
IF(L254="In Progress",3,
IF(L254="Not clarified",2,
IF(L254="No",0,""))))))</f>
        <v/>
      </c>
      <c r="O254" s="47" t="str">
        <f>IF(N254="","",N254*M254)</f>
        <v/>
      </c>
      <c r="P254" s="54"/>
      <c r="Q254" s="42"/>
      <c r="R254" s="42"/>
      <c r="S254" s="43"/>
    </row>
    <row r="255" spans="1:19" ht="14.45" customHeight="1">
      <c r="A255" s="222"/>
      <c r="B255" s="222"/>
      <c r="C255" s="154" t="s">
        <v>283</v>
      </c>
      <c r="D255" s="122" t="s">
        <v>284</v>
      </c>
      <c r="E255" s="213"/>
      <c r="F255" s="213"/>
      <c r="G255" s="213"/>
      <c r="H255" s="213"/>
      <c r="I255" s="213"/>
      <c r="J255" s="213"/>
      <c r="K255" s="212"/>
      <c r="L255" s="2"/>
      <c r="M255" s="83">
        <v>5</v>
      </c>
      <c r="N255" s="47" t="str">
        <f>IF(L255="NA","",
IF(L255="Yes",5,
IF(L255="Partial",4,
IF(L255="In Progress",3,
IF(L255="Not clarified",2,
IF(L255="No",0,""))))))</f>
        <v/>
      </c>
      <c r="O255" s="47" t="str">
        <f>IF(N255="","",N255*M255)</f>
        <v/>
      </c>
      <c r="P255" s="127" t="str">
        <f>IFERROR(AVERAGE(O255:O260),"")</f>
        <v/>
      </c>
      <c r="Q255" s="142"/>
      <c r="R255" s="229"/>
      <c r="S255" s="230"/>
    </row>
    <row r="256" spans="1:19" ht="14.45" customHeight="1">
      <c r="A256" s="222"/>
      <c r="B256" s="222"/>
      <c r="C256" s="222"/>
      <c r="D256" s="122" t="s">
        <v>285</v>
      </c>
      <c r="E256" s="213"/>
      <c r="F256" s="213"/>
      <c r="G256" s="213"/>
      <c r="H256" s="213"/>
      <c r="I256" s="213"/>
      <c r="J256" s="213"/>
      <c r="K256" s="212"/>
      <c r="L256" s="2"/>
      <c r="M256" s="83">
        <v>5</v>
      </c>
      <c r="N256" s="47" t="str">
        <f>IF(L256="NA","",
IF(L256="Yes",5,
IF(L256="Partial",4,
IF(L256="In Progress",3,
IF(L256="Not clarified",2,
IF(L256="No",0,""))))))</f>
        <v/>
      </c>
      <c r="O256" s="47" t="str">
        <f>IF(N256="","",N256*M256)</f>
        <v/>
      </c>
      <c r="P256" s="223"/>
      <c r="Q256" s="235"/>
      <c r="R256" s="225"/>
      <c r="S256" s="236"/>
    </row>
    <row r="257" spans="1:19" ht="14.45" customHeight="1">
      <c r="A257" s="222"/>
      <c r="B257" s="222"/>
      <c r="C257" s="222"/>
      <c r="D257" s="122" t="s">
        <v>286</v>
      </c>
      <c r="E257" s="213"/>
      <c r="F257" s="213"/>
      <c r="G257" s="213"/>
      <c r="H257" s="213"/>
      <c r="I257" s="213"/>
      <c r="J257" s="213"/>
      <c r="K257" s="212"/>
      <c r="L257" s="2"/>
      <c r="M257" s="83">
        <v>5</v>
      </c>
      <c r="N257" s="47" t="str">
        <f>IF(L257="NA","",
IF(L257="Yes",5,
IF(L257="Partial",4,
IF(L257="In Progress",3,
IF(L257="Not clarified",2,
IF(L257="No",0,""))))))</f>
        <v/>
      </c>
      <c r="O257" s="47" t="str">
        <f>IF(N257="","",N257*M257)</f>
        <v/>
      </c>
      <c r="P257" s="223"/>
      <c r="Q257" s="235"/>
      <c r="R257" s="225"/>
      <c r="S257" s="236"/>
    </row>
    <row r="258" spans="1:19" ht="14.45" customHeight="1">
      <c r="A258" s="222"/>
      <c r="B258" s="222"/>
      <c r="C258" s="222"/>
      <c r="D258" s="122" t="s">
        <v>287</v>
      </c>
      <c r="E258" s="213"/>
      <c r="F258" s="213"/>
      <c r="G258" s="213"/>
      <c r="H258" s="213"/>
      <c r="I258" s="213"/>
      <c r="J258" s="213"/>
      <c r="K258" s="212"/>
      <c r="L258" s="2"/>
      <c r="M258" s="83">
        <v>5</v>
      </c>
      <c r="N258" s="47" t="str">
        <f>IF(L258="NA","",
IF(L258="Yes",5,
IF(L258="Partial",4,
IF(L258="In Progress",3,
IF(L258="Not clarified",2,
IF(L258="No",0,""))))))</f>
        <v/>
      </c>
      <c r="O258" s="47" t="str">
        <f>IF(N258="","",N258*M258)</f>
        <v/>
      </c>
      <c r="P258" s="223"/>
      <c r="Q258" s="235"/>
      <c r="R258" s="225"/>
      <c r="S258" s="236"/>
    </row>
    <row r="259" spans="1:19" ht="14.45" customHeight="1">
      <c r="A259" s="222"/>
      <c r="B259" s="222"/>
      <c r="C259" s="222"/>
      <c r="D259" s="122" t="s">
        <v>288</v>
      </c>
      <c r="E259" s="213"/>
      <c r="F259" s="213"/>
      <c r="G259" s="213"/>
      <c r="H259" s="213"/>
      <c r="I259" s="213"/>
      <c r="J259" s="213"/>
      <c r="K259" s="212"/>
      <c r="L259" s="2"/>
      <c r="M259" s="83">
        <v>5</v>
      </c>
      <c r="N259" s="47" t="str">
        <f>IF(L259="NA","",
IF(L259="Yes",5,
IF(L259="Partial",4,
IF(L259="In Progress",3,
IF(L259="Not clarified",2,
IF(L259="No",0,""))))))</f>
        <v/>
      </c>
      <c r="O259" s="47" t="str">
        <f>IF(N259="","",N259*M259)</f>
        <v/>
      </c>
      <c r="P259" s="223"/>
      <c r="Q259" s="235"/>
      <c r="R259" s="225"/>
      <c r="S259" s="236"/>
    </row>
    <row r="260" spans="1:19" ht="14.45" customHeight="1">
      <c r="A260" s="222"/>
      <c r="B260" s="222"/>
      <c r="C260" s="226"/>
      <c r="D260" s="122" t="s">
        <v>289</v>
      </c>
      <c r="E260" s="213"/>
      <c r="F260" s="213"/>
      <c r="G260" s="213"/>
      <c r="H260" s="213"/>
      <c r="I260" s="213"/>
      <c r="J260" s="213"/>
      <c r="K260" s="212"/>
      <c r="L260" s="2"/>
      <c r="M260" s="83">
        <v>5</v>
      </c>
      <c r="N260" s="47" t="str">
        <f>IF(L260="NA","",
IF(L260="Yes",5,
IF(L260="Partial",4,
IF(L260="In Progress",3,
IF(L260="Not clarified",2,
IF(L260="No",0,""))))))</f>
        <v/>
      </c>
      <c r="O260" s="47" t="str">
        <f>IF(N260="","",N260*M260)</f>
        <v/>
      </c>
      <c r="P260" s="227"/>
      <c r="Q260" s="231"/>
      <c r="R260" s="219"/>
      <c r="S260" s="220"/>
    </row>
    <row r="261" spans="1:19" ht="14.45" customHeight="1">
      <c r="A261" s="222"/>
      <c r="B261" s="222"/>
      <c r="C261" s="23"/>
      <c r="D261" s="124"/>
      <c r="E261" s="213"/>
      <c r="F261" s="213"/>
      <c r="G261" s="213"/>
      <c r="H261" s="213"/>
      <c r="I261" s="213"/>
      <c r="J261" s="213"/>
      <c r="K261" s="212"/>
      <c r="L261" s="2"/>
      <c r="M261" s="47"/>
      <c r="N261" s="47" t="str">
        <f>IF(L261="NA","",
IF(L261="Yes",5,
IF(L261="Partial",4,
IF(L261="In Progress",3,
IF(L261="Not clarified",2,
IF(L261="No",0,""))))))</f>
        <v/>
      </c>
      <c r="O261" s="47" t="str">
        <f>IF(N261="","",N261*M261)</f>
        <v/>
      </c>
      <c r="P261" s="54"/>
      <c r="Q261" s="121"/>
      <c r="R261" s="213"/>
      <c r="S261" s="212"/>
    </row>
    <row r="262" spans="1:19" ht="14.45" customHeight="1">
      <c r="A262" s="222"/>
      <c r="B262" s="222"/>
      <c r="C262" s="129" t="s">
        <v>290</v>
      </c>
      <c r="D262" s="122" t="s">
        <v>291</v>
      </c>
      <c r="E262" s="213"/>
      <c r="F262" s="213"/>
      <c r="G262" s="213"/>
      <c r="H262" s="213"/>
      <c r="I262" s="213"/>
      <c r="J262" s="213"/>
      <c r="K262" s="212"/>
      <c r="L262" s="2"/>
      <c r="M262" s="83">
        <v>5</v>
      </c>
      <c r="N262" s="47" t="str">
        <f>IF(L262="NA","",
IF(L262="Yes",5,
IF(L262="Partial",4,
IF(L262="In Progress",3,
IF(L262="Not clarified",2,
IF(L262="No",0,""))))))</f>
        <v/>
      </c>
      <c r="O262" s="47" t="str">
        <f>IF(N262="","",N262*M262)</f>
        <v/>
      </c>
      <c r="P262" s="127" t="str">
        <f>IFERROR(AVERAGE(O262:O264),"")</f>
        <v/>
      </c>
      <c r="Q262" s="228"/>
      <c r="R262" s="213"/>
      <c r="S262" s="212"/>
    </row>
    <row r="263" spans="1:19" ht="14.45" customHeight="1">
      <c r="A263" s="222"/>
      <c r="B263" s="222"/>
      <c r="C263" s="222"/>
      <c r="D263" s="122" t="s">
        <v>292</v>
      </c>
      <c r="E263" s="213"/>
      <c r="F263" s="213"/>
      <c r="G263" s="213"/>
      <c r="H263" s="213"/>
      <c r="I263" s="213"/>
      <c r="J263" s="213"/>
      <c r="K263" s="212"/>
      <c r="L263" s="2"/>
      <c r="M263" s="83">
        <v>4</v>
      </c>
      <c r="N263" s="47" t="str">
        <f>IF(L263="NA","",
IF(L263="Yes",5,
IF(L263="Partial",4,
IF(L263="In Progress",3,
IF(L263="Not clarified",2,
IF(L263="No",0,""))))))</f>
        <v/>
      </c>
      <c r="O263" s="47" t="str">
        <f>IF(N263="","",N263*M263)</f>
        <v/>
      </c>
      <c r="P263" s="223"/>
      <c r="Q263" s="228"/>
      <c r="R263" s="213"/>
      <c r="S263" s="212"/>
    </row>
    <row r="264" spans="1:19" ht="14.45" customHeight="1">
      <c r="A264" s="226"/>
      <c r="B264" s="226"/>
      <c r="C264" s="226"/>
      <c r="D264" s="122" t="s">
        <v>293</v>
      </c>
      <c r="E264" s="213"/>
      <c r="F264" s="213"/>
      <c r="G264" s="213"/>
      <c r="H264" s="213"/>
      <c r="I264" s="213"/>
      <c r="J264" s="213"/>
      <c r="K264" s="212"/>
      <c r="L264" s="2"/>
      <c r="M264" s="83">
        <v>4</v>
      </c>
      <c r="N264" s="47" t="str">
        <f>IF(L264="NA","",
IF(L264="Yes",5,
IF(L264="Partial",4,
IF(L264="In Progress",3,
IF(L264="Not clarified",2,
IF(L264="No",0,""))))))</f>
        <v/>
      </c>
      <c r="O264" s="47" t="str">
        <f>IF(N264="","",N264*M264)</f>
        <v/>
      </c>
      <c r="P264" s="227"/>
      <c r="Q264" s="121"/>
      <c r="R264" s="213"/>
      <c r="S264" s="212"/>
    </row>
    <row r="265" spans="1:19" ht="14.45" customHeight="1">
      <c r="A265" s="59"/>
      <c r="B265" s="4"/>
      <c r="D265" s="184"/>
      <c r="E265" s="213"/>
      <c r="F265" s="213"/>
      <c r="G265" s="213"/>
      <c r="H265" s="213"/>
      <c r="I265" s="213"/>
      <c r="J265" s="213"/>
      <c r="K265" s="212"/>
      <c r="L265" s="2"/>
      <c r="M265" s="47"/>
      <c r="N265" s="47" t="str">
        <f>IF(L265="NA","",
IF(L265="Yes",5,
IF(L265="Partial",4,
IF(L265="In Progress",3,
IF(L265="Not clarified",2,
IF(L265="No",0,""))))))</f>
        <v/>
      </c>
      <c r="O265" s="47" t="str">
        <f>IF(N265="","",N265*M265)</f>
        <v/>
      </c>
      <c r="P265" s="54"/>
      <c r="Q265" s="121"/>
      <c r="R265" s="213"/>
      <c r="S265" s="212"/>
    </row>
    <row r="266" spans="1:19" ht="14.45" customHeight="1">
      <c r="A266" s="130">
        <v>19</v>
      </c>
      <c r="B266" s="129" t="s">
        <v>294</v>
      </c>
      <c r="C266" s="129" t="s">
        <v>295</v>
      </c>
      <c r="D266" s="122" t="s">
        <v>296</v>
      </c>
      <c r="E266" s="213"/>
      <c r="F266" s="213"/>
      <c r="G266" s="213"/>
      <c r="H266" s="213"/>
      <c r="I266" s="213"/>
      <c r="J266" s="213"/>
      <c r="K266" s="212"/>
      <c r="L266" s="2"/>
      <c r="M266" s="83">
        <v>5</v>
      </c>
      <c r="N266" s="47" t="str">
        <f>IF(L266="NA","",
IF(L266="Yes",5,
IF(L266="Partial",4,
IF(L266="In Progress",3,
IF(L266="Not clarified",2,
IF(L266="No",0,""))))))</f>
        <v/>
      </c>
      <c r="O266" s="47" t="str">
        <f>IF(N266="","",N266*M266)</f>
        <v/>
      </c>
      <c r="P266" s="127" t="str">
        <f>IFERROR(AVERAGE(O266:O269),"")</f>
        <v/>
      </c>
      <c r="Q266" s="142"/>
      <c r="R266" s="229"/>
      <c r="S266" s="230"/>
    </row>
    <row r="267" spans="1:19" ht="14.45" customHeight="1">
      <c r="A267" s="222"/>
      <c r="B267" s="222"/>
      <c r="C267" s="222"/>
      <c r="D267" s="122" t="s">
        <v>297</v>
      </c>
      <c r="E267" s="213"/>
      <c r="F267" s="213"/>
      <c r="G267" s="213"/>
      <c r="H267" s="213"/>
      <c r="I267" s="213"/>
      <c r="J267" s="213"/>
      <c r="K267" s="212"/>
      <c r="L267" s="2"/>
      <c r="M267" s="83">
        <v>4</v>
      </c>
      <c r="N267" s="47" t="str">
        <f>IF(L267="NA","",
IF(L267="Yes",5,
IF(L267="Partial",4,
IF(L267="In Progress",3,
IF(L267="Not clarified",2,
IF(L267="No",0,""))))))</f>
        <v/>
      </c>
      <c r="O267" s="47" t="str">
        <f>IF(N267="","",N267*M267)</f>
        <v/>
      </c>
      <c r="P267" s="223"/>
      <c r="Q267" s="235"/>
      <c r="R267" s="225"/>
      <c r="S267" s="236"/>
    </row>
    <row r="268" spans="1:19" ht="14.45" customHeight="1">
      <c r="A268" s="222"/>
      <c r="B268" s="222"/>
      <c r="C268" s="222"/>
      <c r="D268" s="122" t="s">
        <v>298</v>
      </c>
      <c r="E268" s="213"/>
      <c r="F268" s="213"/>
      <c r="G268" s="213"/>
      <c r="H268" s="213"/>
      <c r="I268" s="213"/>
      <c r="J268" s="213"/>
      <c r="K268" s="212"/>
      <c r="L268" s="2"/>
      <c r="M268" s="83">
        <v>5</v>
      </c>
      <c r="N268" s="47" t="str">
        <f>IF(L268="NA","",
IF(L268="Yes",5,
IF(L268="Partial",4,
IF(L268="In Progress",3,
IF(L268="Not clarified",2,
IF(L268="No",0,""))))))</f>
        <v/>
      </c>
      <c r="O268" s="47"/>
      <c r="P268" s="223"/>
      <c r="Q268" s="235"/>
      <c r="R268" s="225"/>
      <c r="S268" s="236"/>
    </row>
    <row r="269" spans="1:19" ht="14.45" customHeight="1">
      <c r="A269" s="222"/>
      <c r="B269" s="222"/>
      <c r="C269" s="226"/>
      <c r="D269" s="122" t="s">
        <v>299</v>
      </c>
      <c r="E269" s="213"/>
      <c r="F269" s="213"/>
      <c r="G269" s="213"/>
      <c r="H269" s="213"/>
      <c r="I269" s="213"/>
      <c r="J269" s="213"/>
      <c r="K269" s="212"/>
      <c r="L269" s="2"/>
      <c r="M269" s="83">
        <v>5</v>
      </c>
      <c r="N269" s="47" t="str">
        <f>IF(L269="NA","",
IF(L269="Yes",5,
IF(L269="Partial",4,
IF(L269="In Progress",3,
IF(L269="Not clarified",2,
IF(L269="No",0,""))))))</f>
        <v/>
      </c>
      <c r="O269" s="47" t="str">
        <f>IF(N269="","",N269*M269)</f>
        <v/>
      </c>
      <c r="P269" s="227"/>
      <c r="Q269" s="231"/>
      <c r="R269" s="219"/>
      <c r="S269" s="220"/>
    </row>
    <row r="270" spans="1:19" ht="14.45" customHeight="1">
      <c r="A270" s="222"/>
      <c r="B270" s="222"/>
      <c r="C270" s="4"/>
      <c r="D270" s="124"/>
      <c r="E270" s="213"/>
      <c r="F270" s="213"/>
      <c r="G270" s="213"/>
      <c r="H270" s="213"/>
      <c r="I270" s="213"/>
      <c r="J270" s="213"/>
      <c r="K270" s="212"/>
      <c r="L270" s="2"/>
      <c r="M270" s="47"/>
      <c r="N270" s="47" t="str">
        <f>IF(L270="NA","",
IF(L270="Yes",5,
IF(L270="Partial",4,
IF(L270="In Progress",3,
IF(L270="Not clarified",2,
IF(L270="No",0,""))))))</f>
        <v/>
      </c>
      <c r="O270" s="47" t="str">
        <f>IF(N270="","",N270*M270)</f>
        <v/>
      </c>
      <c r="P270" s="54"/>
      <c r="Q270" s="228"/>
      <c r="R270" s="213"/>
      <c r="S270" s="212"/>
    </row>
    <row r="271" spans="1:19" s="72" customFormat="1" ht="35.1" customHeight="1">
      <c r="A271" s="222"/>
      <c r="B271" s="222"/>
      <c r="C271" s="130" t="s">
        <v>300</v>
      </c>
      <c r="D271" s="128" t="s">
        <v>301</v>
      </c>
      <c r="E271" s="213"/>
      <c r="F271" s="213"/>
      <c r="G271" s="213"/>
      <c r="H271" s="213"/>
      <c r="I271" s="213"/>
      <c r="J271" s="213"/>
      <c r="K271" s="212"/>
      <c r="L271" s="104"/>
      <c r="M271" s="83">
        <v>5</v>
      </c>
      <c r="N271" s="47" t="str">
        <f>IF(L271="NA","",
IF(L271="Yes",5,
IF(L271="Partial",4,
IF(L271="In Progress",3,
IF(L271="Not clarified",2,
IF(L271="No",0,""))))))</f>
        <v/>
      </c>
      <c r="O271" s="47" t="str">
        <f>IF(N271="","",N271*M271)</f>
        <v/>
      </c>
      <c r="P271" s="127" t="str">
        <f>IFERROR(AVERAGE(O271:O273),"")</f>
        <v/>
      </c>
      <c r="Q271" s="131"/>
      <c r="R271" s="213"/>
      <c r="S271" s="212"/>
    </row>
    <row r="272" spans="1:19" ht="14.45" customHeight="1">
      <c r="A272" s="222"/>
      <c r="B272" s="222"/>
      <c r="C272" s="222"/>
      <c r="D272" s="122" t="s">
        <v>237</v>
      </c>
      <c r="E272" s="213"/>
      <c r="F272" s="213"/>
      <c r="G272" s="213"/>
      <c r="H272" s="213"/>
      <c r="I272" s="213"/>
      <c r="J272" s="213"/>
      <c r="K272" s="212"/>
      <c r="L272" s="2"/>
      <c r="M272" s="83">
        <v>5</v>
      </c>
      <c r="N272" s="47" t="str">
        <f>IF(L272="NA","",
IF(L272="Yes",5,
IF(L272="Partial",4,
IF(L272="In Progress",3,
IF(L272="Not clarified",2,
IF(L272="No",0,""))))))</f>
        <v/>
      </c>
      <c r="O272" s="47" t="str">
        <f>IF(N272="","",N272*M272)</f>
        <v/>
      </c>
      <c r="P272" s="223"/>
      <c r="Q272" s="228"/>
      <c r="R272" s="213"/>
      <c r="S272" s="212"/>
    </row>
    <row r="273" spans="1:19" ht="14.45" customHeight="1">
      <c r="A273" s="226"/>
      <c r="B273" s="226"/>
      <c r="C273" s="226"/>
      <c r="D273" s="122" t="s">
        <v>302</v>
      </c>
      <c r="E273" s="213"/>
      <c r="F273" s="213"/>
      <c r="G273" s="213"/>
      <c r="H273" s="213"/>
      <c r="I273" s="213"/>
      <c r="J273" s="213"/>
      <c r="K273" s="212"/>
      <c r="L273" s="2"/>
      <c r="M273" s="83">
        <v>4</v>
      </c>
      <c r="N273" s="47" t="str">
        <f>IF(L273="NA","",
IF(L273="Yes",5,
IF(L273="Partial",4,
IF(L273="In Progress",3,
IF(L273="Not clarified",2,
IF(L273="No",0,""))))))</f>
        <v/>
      </c>
      <c r="O273" s="47" t="str">
        <f>IF(N273="","",N273*M273)</f>
        <v/>
      </c>
      <c r="P273" s="227"/>
      <c r="Q273" s="228"/>
      <c r="R273" s="213"/>
      <c r="S273" s="212"/>
    </row>
    <row r="274" spans="1:19" ht="14.45" customHeight="1">
      <c r="A274" s="59"/>
      <c r="B274" s="4"/>
      <c r="C274" s="4"/>
      <c r="D274" s="122"/>
      <c r="E274" s="213"/>
      <c r="F274" s="213"/>
      <c r="G274" s="213"/>
      <c r="H274" s="213"/>
      <c r="I274" s="213"/>
      <c r="J274" s="213"/>
      <c r="K274" s="212"/>
      <c r="L274" s="2"/>
      <c r="M274" s="47"/>
      <c r="N274" s="47" t="str">
        <f>IF(L274="NA","",
IF(L274="Yes",5,
IF(L274="Partial",4,
IF(L274="In Progress",3,
IF(L274="Not clarified",2,
IF(L274="No",0,""))))))</f>
        <v/>
      </c>
      <c r="O274" s="47" t="str">
        <f>IF(N274="","",N274*M274)</f>
        <v/>
      </c>
      <c r="P274" s="54"/>
      <c r="Q274" s="228"/>
      <c r="R274" s="213"/>
      <c r="S274" s="212"/>
    </row>
    <row r="275" spans="1:19" ht="14.45" customHeight="1">
      <c r="A275" s="130">
        <v>20</v>
      </c>
      <c r="B275" s="129" t="s">
        <v>303</v>
      </c>
      <c r="C275" s="130" t="s">
        <v>304</v>
      </c>
      <c r="D275" s="122" t="s">
        <v>305</v>
      </c>
      <c r="E275" s="213"/>
      <c r="F275" s="213"/>
      <c r="G275" s="213"/>
      <c r="H275" s="213"/>
      <c r="I275" s="213"/>
      <c r="J275" s="213"/>
      <c r="K275" s="212"/>
      <c r="L275" s="2"/>
      <c r="M275" s="83">
        <v>5</v>
      </c>
      <c r="N275" s="47" t="str">
        <f>IF(L275="NA","",
IF(L275="Yes",5,
IF(L275="Partial",4,
IF(L275="In Progress",3,
IF(L275="Not clarified",2,
IF(L275="No",0,""))))))</f>
        <v/>
      </c>
      <c r="O275" s="47" t="str">
        <f>IF(N275="","",N275*M275)</f>
        <v/>
      </c>
      <c r="P275" s="127" t="str">
        <f>IFERROR(AVERAGE(O275:O279),"")</f>
        <v/>
      </c>
      <c r="Q275" s="228"/>
      <c r="R275" s="213"/>
      <c r="S275" s="212"/>
    </row>
    <row r="276" spans="1:19" ht="14.45" customHeight="1">
      <c r="A276" s="222"/>
      <c r="B276" s="222"/>
      <c r="C276" s="222"/>
      <c r="D276" s="122" t="s">
        <v>306</v>
      </c>
      <c r="E276" s="213"/>
      <c r="F276" s="213"/>
      <c r="G276" s="213"/>
      <c r="H276" s="213"/>
      <c r="I276" s="213"/>
      <c r="J276" s="213"/>
      <c r="K276" s="212"/>
      <c r="L276" s="2"/>
      <c r="M276" s="83">
        <v>5</v>
      </c>
      <c r="N276" s="47" t="str">
        <f>IF(L276="NA","",
IF(L276="Yes",5,
IF(L276="Partial",4,
IF(L276="In Progress",3,
IF(L276="Not clarified",2,
IF(L276="No",0,""))))))</f>
        <v/>
      </c>
      <c r="O276" s="47" t="str">
        <f>IF(N276="","",N276*M276)</f>
        <v/>
      </c>
      <c r="P276" s="223"/>
      <c r="Q276" s="228"/>
      <c r="R276" s="213"/>
      <c r="S276" s="212"/>
    </row>
    <row r="277" spans="1:19" ht="14.45" customHeight="1">
      <c r="A277" s="222"/>
      <c r="B277" s="222"/>
      <c r="C277" s="222"/>
      <c r="D277" s="122" t="s">
        <v>307</v>
      </c>
      <c r="E277" s="213"/>
      <c r="F277" s="213"/>
      <c r="G277" s="213"/>
      <c r="H277" s="213"/>
      <c r="I277" s="213"/>
      <c r="J277" s="213"/>
      <c r="K277" s="212"/>
      <c r="L277" s="2"/>
      <c r="M277" s="83">
        <v>4</v>
      </c>
      <c r="N277" s="47" t="str">
        <f>IF(L277="NA","",
IF(L277="Yes",5,
IF(L277="Partial",4,
IF(L277="In Progress",3,
IF(L277="Not clarified",2,
IF(L277="No",0,""))))))</f>
        <v/>
      </c>
      <c r="O277" s="47" t="str">
        <f>IF(N277="","",N277*M277)</f>
        <v/>
      </c>
      <c r="P277" s="223"/>
      <c r="Q277" s="228"/>
      <c r="R277" s="213"/>
      <c r="S277" s="212"/>
    </row>
    <row r="278" spans="1:19" ht="14.45" customHeight="1">
      <c r="A278" s="222"/>
      <c r="B278" s="222"/>
      <c r="C278" s="222"/>
      <c r="D278" s="122" t="s">
        <v>308</v>
      </c>
      <c r="E278" s="213"/>
      <c r="F278" s="213"/>
      <c r="G278" s="213"/>
      <c r="H278" s="213"/>
      <c r="I278" s="213"/>
      <c r="J278" s="213"/>
      <c r="K278" s="212"/>
      <c r="L278" s="2"/>
      <c r="M278" s="83">
        <v>5</v>
      </c>
      <c r="N278" s="47" t="str">
        <f>IF(L278="NA","",
IF(L278="Yes",5,
IF(L278="Partial",4,
IF(L278="In Progress",3,
IF(L278="Not clarified",2,
IF(L278="No",0,""))))))</f>
        <v/>
      </c>
      <c r="O278" s="47" t="str">
        <f>IF(N278="","",N278*M278)</f>
        <v/>
      </c>
      <c r="P278" s="223"/>
      <c r="Q278" s="228"/>
      <c r="R278" s="213"/>
      <c r="S278" s="212"/>
    </row>
    <row r="279" spans="1:19" s="72" customFormat="1" ht="35.450000000000003" customHeight="1">
      <c r="A279" s="222"/>
      <c r="B279" s="222"/>
      <c r="C279" s="222"/>
      <c r="D279" s="128" t="s">
        <v>309</v>
      </c>
      <c r="E279" s="213"/>
      <c r="F279" s="213"/>
      <c r="G279" s="213"/>
      <c r="H279" s="213"/>
      <c r="I279" s="213"/>
      <c r="J279" s="213"/>
      <c r="K279" s="212"/>
      <c r="L279" s="104"/>
      <c r="M279" s="83">
        <v>5</v>
      </c>
      <c r="N279" s="47" t="str">
        <f>IF(L279="NA","",
IF(L279="Yes",5,
IF(L279="Partial",4,
IF(L279="In Progress",3,
IF(L279="Not clarified",2,
IF(L279="No",0,""))))))</f>
        <v/>
      </c>
      <c r="O279" s="47" t="str">
        <f>IF(N279="","",N279*M279)</f>
        <v/>
      </c>
      <c r="P279" s="223"/>
      <c r="Q279" s="142"/>
      <c r="R279" s="213"/>
      <c r="S279" s="212"/>
    </row>
    <row r="280" spans="1:19" ht="14.45" customHeight="1">
      <c r="A280" s="226"/>
      <c r="B280" s="226"/>
      <c r="C280" s="226"/>
      <c r="D280" s="122" t="s">
        <v>310</v>
      </c>
      <c r="E280" s="213"/>
      <c r="F280" s="213"/>
      <c r="G280" s="213"/>
      <c r="H280" s="213"/>
      <c r="I280" s="213"/>
      <c r="J280" s="213"/>
      <c r="K280" s="212"/>
      <c r="L280" s="2"/>
      <c r="M280" s="83">
        <v>4</v>
      </c>
      <c r="N280" s="47" t="str">
        <f>IF(L280="NA","",
IF(L280="Yes",5,
IF(L280="Partial",4,
IF(L280="In Progress",3,
IF(L280="Not clarified",2,
IF(L280="No",0,""))))))</f>
        <v/>
      </c>
      <c r="O280" s="47" t="str">
        <f>IF(N280="","",N280*M280)</f>
        <v/>
      </c>
      <c r="P280" s="227"/>
      <c r="Q280" s="121"/>
      <c r="R280" s="213"/>
      <c r="S280" s="212"/>
    </row>
    <row r="281" spans="1:19" ht="14.45" customHeight="1">
      <c r="A281" s="59"/>
      <c r="B281" s="4"/>
      <c r="C281" s="4"/>
      <c r="D281" s="122"/>
      <c r="E281" s="213"/>
      <c r="F281" s="213"/>
      <c r="G281" s="213"/>
      <c r="H281" s="213"/>
      <c r="I281" s="213"/>
      <c r="J281" s="213"/>
      <c r="K281" s="212"/>
      <c r="L281" s="14"/>
      <c r="M281" s="47"/>
      <c r="N281" s="47" t="str">
        <f>IF(L281="NA","",
IF(L281="Yes",5,
IF(L281="Partial",4,
IF(L281="In Progress",3,
IF(L281="Not clarified",2,
IF(L281="No",0,""))))))</f>
        <v/>
      </c>
      <c r="O281" s="47" t="str">
        <f>IF(N281="","",N281*M281)</f>
        <v/>
      </c>
      <c r="P281" s="54"/>
      <c r="Q281" s="228"/>
      <c r="R281" s="213"/>
      <c r="S281" s="212"/>
    </row>
    <row r="282" spans="1:19" ht="14.45" customHeight="1">
      <c r="A282" s="130">
        <v>21</v>
      </c>
      <c r="B282" s="129" t="s">
        <v>311</v>
      </c>
      <c r="C282" s="129" t="s">
        <v>312</v>
      </c>
      <c r="D282" s="122" t="s">
        <v>313</v>
      </c>
      <c r="E282" s="213"/>
      <c r="F282" s="213"/>
      <c r="G282" s="213"/>
      <c r="H282" s="213"/>
      <c r="I282" s="213"/>
      <c r="J282" s="213"/>
      <c r="K282" s="212"/>
      <c r="L282" s="2"/>
      <c r="M282" s="83">
        <v>5</v>
      </c>
      <c r="N282" s="47" t="str">
        <f>IF(L282="NA","",
IF(L282="Yes",5,
IF(L282="Partial",4,
IF(L282="In Progress",3,
IF(L282="Not clarified",2,
IF(L282="No",0,""))))))</f>
        <v/>
      </c>
      <c r="O282" s="47" t="str">
        <f>IF(N282="","",N282*M282)</f>
        <v/>
      </c>
      <c r="P282" s="127" t="str">
        <f>IFERROR(AVERAGE(O282:O286),"")</f>
        <v/>
      </c>
      <c r="Q282" s="228"/>
      <c r="R282" s="213"/>
      <c r="S282" s="212"/>
    </row>
    <row r="283" spans="1:19" ht="14.45" customHeight="1">
      <c r="A283" s="222"/>
      <c r="B283" s="222"/>
      <c r="C283" s="222"/>
      <c r="D283" s="122" t="s">
        <v>314</v>
      </c>
      <c r="E283" s="213"/>
      <c r="F283" s="213"/>
      <c r="G283" s="213"/>
      <c r="H283" s="213"/>
      <c r="I283" s="213"/>
      <c r="J283" s="213"/>
      <c r="K283" s="212"/>
      <c r="L283" s="2"/>
      <c r="M283" s="83">
        <v>5</v>
      </c>
      <c r="N283" s="47" t="str">
        <f>IF(L283="NA","",
IF(L283="Yes",5,
IF(L283="Partial",4,
IF(L283="In Progress",3,
IF(L283="Not clarified",2,
IF(L283="No",0,""))))))</f>
        <v/>
      </c>
      <c r="O283" s="47" t="str">
        <f>IF(N283="","",N283*M283)</f>
        <v/>
      </c>
      <c r="P283" s="223"/>
      <c r="Q283" s="163"/>
      <c r="R283" s="229"/>
      <c r="S283" s="230"/>
    </row>
    <row r="284" spans="1:19" ht="14.45" customHeight="1">
      <c r="A284" s="222"/>
      <c r="B284" s="222"/>
      <c r="C284" s="222"/>
      <c r="D284" s="122" t="s">
        <v>315</v>
      </c>
      <c r="E284" s="213"/>
      <c r="F284" s="213"/>
      <c r="G284" s="213"/>
      <c r="H284" s="213"/>
      <c r="I284" s="213"/>
      <c r="J284" s="213"/>
      <c r="K284" s="212"/>
      <c r="L284" s="2"/>
      <c r="M284" s="83">
        <v>5</v>
      </c>
      <c r="N284" s="47" t="str">
        <f>IF(L284="NA","",
IF(L284="Yes",5,
IF(L284="Partial",4,
IF(L284="In Progress",3,
IF(L284="Not clarified",2,
IF(L284="No",0,""))))))</f>
        <v/>
      </c>
      <c r="O284" s="47" t="str">
        <f>IF(N284="","",N284*M284)</f>
        <v/>
      </c>
      <c r="P284" s="223"/>
      <c r="Q284" s="235"/>
      <c r="R284" s="225"/>
      <c r="S284" s="236"/>
    </row>
    <row r="285" spans="1:19" ht="14.45" customHeight="1">
      <c r="A285" s="222"/>
      <c r="B285" s="222"/>
      <c r="C285" s="222"/>
      <c r="D285" s="122" t="s">
        <v>316</v>
      </c>
      <c r="E285" s="213"/>
      <c r="F285" s="213"/>
      <c r="G285" s="213"/>
      <c r="H285" s="213"/>
      <c r="I285" s="213"/>
      <c r="J285" s="213"/>
      <c r="K285" s="212"/>
      <c r="L285" s="2"/>
      <c r="M285" s="83">
        <v>4</v>
      </c>
      <c r="N285" s="47" t="str">
        <f>IF(L285="NA","",
IF(L285="Yes",5,
IF(L285="Partial",4,
IF(L285="In Progress",3,
IF(L285="Not clarified",2,
IF(L285="No",0,""))))))</f>
        <v/>
      </c>
      <c r="O285" s="47" t="str">
        <f>IF(N285="","",N285*M285)</f>
        <v/>
      </c>
      <c r="P285" s="223"/>
      <c r="Q285" s="235"/>
      <c r="R285" s="225"/>
      <c r="S285" s="236"/>
    </row>
    <row r="286" spans="1:19" ht="14.45" customHeight="1">
      <c r="A286" s="226"/>
      <c r="B286" s="226"/>
      <c r="C286" s="226"/>
      <c r="D286" s="122" t="s">
        <v>317</v>
      </c>
      <c r="E286" s="213"/>
      <c r="F286" s="213"/>
      <c r="G286" s="213"/>
      <c r="H286" s="213"/>
      <c r="I286" s="213"/>
      <c r="J286" s="213"/>
      <c r="K286" s="212"/>
      <c r="L286" s="2"/>
      <c r="M286" s="83">
        <v>4</v>
      </c>
      <c r="N286" s="47" t="str">
        <f>IF(L286="NA","",
IF(L286="Yes",5,
IF(L286="Partial",4,
IF(L286="In Progress",3,
IF(L286="Not clarified",2,
IF(L286="No",0,""))))))</f>
        <v/>
      </c>
      <c r="O286" s="47" t="str">
        <f>IF(N286="","",N286*M286)</f>
        <v/>
      </c>
      <c r="P286" s="227"/>
      <c r="Q286" s="231"/>
      <c r="R286" s="219"/>
      <c r="S286" s="220"/>
    </row>
    <row r="287" spans="1:19" ht="14.45" customHeight="1">
      <c r="A287" s="59"/>
      <c r="B287" s="4"/>
      <c r="C287" s="4"/>
      <c r="D287" s="122"/>
      <c r="E287" s="213"/>
      <c r="F287" s="213"/>
      <c r="G287" s="213"/>
      <c r="H287" s="213"/>
      <c r="I287" s="213"/>
      <c r="J287" s="213"/>
      <c r="K287" s="212"/>
      <c r="L287" s="2"/>
      <c r="M287" s="47"/>
      <c r="N287" s="47" t="str">
        <f>IF(L287="NA","",
IF(L287="Yes",5,
IF(L287="Partial",4,
IF(L287="In Progress",3,
IF(L287="Not clarified",2,
IF(L287="No",0,""))))))</f>
        <v/>
      </c>
      <c r="O287" s="47" t="str">
        <f>IF(N287="","",N287*M287)</f>
        <v/>
      </c>
      <c r="P287" s="54"/>
      <c r="Q287" s="228"/>
      <c r="R287" s="213"/>
      <c r="S287" s="212"/>
    </row>
    <row r="288" spans="1:19" ht="14.45" customHeight="1">
      <c r="A288" s="130">
        <v>22</v>
      </c>
      <c r="B288" s="129" t="s">
        <v>318</v>
      </c>
      <c r="C288" s="130" t="s">
        <v>319</v>
      </c>
      <c r="D288" s="122" t="s">
        <v>320</v>
      </c>
      <c r="E288" s="213"/>
      <c r="F288" s="213"/>
      <c r="G288" s="213"/>
      <c r="H288" s="213"/>
      <c r="I288" s="213"/>
      <c r="J288" s="213"/>
      <c r="K288" s="212"/>
      <c r="L288" s="2"/>
      <c r="M288" s="83">
        <v>5</v>
      </c>
      <c r="N288" s="47" t="str">
        <f>IF(L288="NA","",
IF(L288="Yes",5,
IF(L288="Partial",4,
IF(L288="In Progress",3,
IF(L288="Not clarified",2,
IF(L288="No",0,""))))))</f>
        <v/>
      </c>
      <c r="O288" s="47" t="str">
        <f>IF(N288="","",N288*M288)</f>
        <v/>
      </c>
      <c r="P288" s="127" t="str">
        <f>IFERROR(AVERAGE(O288:O294),"")</f>
        <v/>
      </c>
      <c r="Q288" s="142"/>
      <c r="R288" s="229"/>
      <c r="S288" s="230"/>
    </row>
    <row r="289" spans="1:19" ht="14.45" customHeight="1">
      <c r="A289" s="222"/>
      <c r="B289" s="222"/>
      <c r="C289" s="222"/>
      <c r="D289" s="122" t="s">
        <v>321</v>
      </c>
      <c r="E289" s="213"/>
      <c r="F289" s="213"/>
      <c r="G289" s="213"/>
      <c r="H289" s="213"/>
      <c r="I289" s="213"/>
      <c r="J289" s="213"/>
      <c r="K289" s="212"/>
      <c r="L289" s="2"/>
      <c r="M289" s="83">
        <v>5</v>
      </c>
      <c r="N289" s="47" t="str">
        <f>IF(L289="NA","",
IF(L289="Yes",5,
IF(L289="Partial",4,
IF(L289="In Progress",3,
IF(L289="Not clarified",2,
IF(L289="No",0,""))))))</f>
        <v/>
      </c>
      <c r="O289" s="47" t="str">
        <f>IF(N289="","",N289*M289)</f>
        <v/>
      </c>
      <c r="P289" s="223"/>
      <c r="Q289" s="235"/>
      <c r="R289" s="225"/>
      <c r="S289" s="236"/>
    </row>
    <row r="290" spans="1:19" ht="14.45" customHeight="1">
      <c r="A290" s="222"/>
      <c r="B290" s="222"/>
      <c r="C290" s="222"/>
      <c r="D290" s="122" t="s">
        <v>322</v>
      </c>
      <c r="E290" s="213"/>
      <c r="F290" s="213"/>
      <c r="G290" s="213"/>
      <c r="H290" s="213"/>
      <c r="I290" s="213"/>
      <c r="J290" s="213"/>
      <c r="K290" s="212"/>
      <c r="L290" s="2"/>
      <c r="M290" s="83">
        <v>4</v>
      </c>
      <c r="N290" s="47" t="str">
        <f>IF(L290="NA","",
IF(L290="Yes",5,
IF(L290="Partial",4,
IF(L290="In Progress",3,
IF(L290="Not clarified",2,
IF(L290="No",0,""))))))</f>
        <v/>
      </c>
      <c r="O290" s="47" t="str">
        <f>IF(N290="","",N290*M290)</f>
        <v/>
      </c>
      <c r="P290" s="223"/>
      <c r="Q290" s="235"/>
      <c r="R290" s="225"/>
      <c r="S290" s="236"/>
    </row>
    <row r="291" spans="1:19" ht="14.45" customHeight="1">
      <c r="A291" s="222"/>
      <c r="B291" s="222"/>
      <c r="C291" s="222"/>
      <c r="D291" s="122" t="s">
        <v>323</v>
      </c>
      <c r="E291" s="213"/>
      <c r="F291" s="213"/>
      <c r="G291" s="213"/>
      <c r="H291" s="213"/>
      <c r="I291" s="213"/>
      <c r="J291" s="213"/>
      <c r="K291" s="212"/>
      <c r="L291" s="2"/>
      <c r="M291" s="83">
        <v>4</v>
      </c>
      <c r="N291" s="47" t="str">
        <f>IF(L291="NA","",
IF(L291="Yes",5,
IF(L291="Partial",4,
IF(L291="In Progress",3,
IF(L291="Not clarified",2,
IF(L291="No",0,""))))))</f>
        <v/>
      </c>
      <c r="O291" s="47" t="str">
        <f>IF(N291="","",N291*M291)</f>
        <v/>
      </c>
      <c r="P291" s="223"/>
      <c r="Q291" s="235"/>
      <c r="R291" s="225"/>
      <c r="S291" s="236"/>
    </row>
    <row r="292" spans="1:19" ht="14.45" customHeight="1">
      <c r="A292" s="222"/>
      <c r="B292" s="222"/>
      <c r="C292" s="222"/>
      <c r="D292" s="122" t="s">
        <v>324</v>
      </c>
      <c r="E292" s="213"/>
      <c r="F292" s="213"/>
      <c r="G292" s="213"/>
      <c r="H292" s="213"/>
      <c r="I292" s="213"/>
      <c r="J292" s="213"/>
      <c r="K292" s="212"/>
      <c r="L292" s="2"/>
      <c r="M292" s="83">
        <v>4</v>
      </c>
      <c r="N292" s="47" t="str">
        <f>IF(L292="NA","",
IF(L292="Yes",5,
IF(L292="Partial",4,
IF(L292="In Progress",3,
IF(L292="Not clarified",2,
IF(L292="No",0,""))))))</f>
        <v/>
      </c>
      <c r="O292" s="47" t="str">
        <f>IF(N292="","",N292*M292)</f>
        <v/>
      </c>
      <c r="P292" s="223"/>
      <c r="Q292" s="235"/>
      <c r="R292" s="225"/>
      <c r="S292" s="236"/>
    </row>
    <row r="293" spans="1:19" ht="14.45" customHeight="1">
      <c r="A293" s="222"/>
      <c r="B293" s="222"/>
      <c r="C293" s="222"/>
      <c r="D293" s="122" t="s">
        <v>325</v>
      </c>
      <c r="E293" s="213"/>
      <c r="F293" s="213"/>
      <c r="G293" s="213"/>
      <c r="H293" s="213"/>
      <c r="I293" s="213"/>
      <c r="J293" s="213"/>
      <c r="K293" s="212"/>
      <c r="L293" s="2"/>
      <c r="M293" s="83">
        <v>5</v>
      </c>
      <c r="N293" s="47" t="str">
        <f>IF(L293="NA","",
IF(L293="Yes",5,
IF(L293="Partial",4,
IF(L293="In Progress",3,
IF(L293="Not clarified",2,
IF(L293="No",0,""))))))</f>
        <v/>
      </c>
      <c r="O293" s="47" t="str">
        <f>IF(N293="","",N293*M293)</f>
        <v/>
      </c>
      <c r="P293" s="223"/>
      <c r="Q293" s="235"/>
      <c r="R293" s="225"/>
      <c r="S293" s="236"/>
    </row>
    <row r="294" spans="1:19" ht="14.45" customHeight="1">
      <c r="A294" s="226"/>
      <c r="B294" s="226"/>
      <c r="C294" s="226"/>
      <c r="D294" s="122" t="s">
        <v>326</v>
      </c>
      <c r="E294" s="213"/>
      <c r="F294" s="213"/>
      <c r="G294" s="213"/>
      <c r="H294" s="213"/>
      <c r="I294" s="213"/>
      <c r="J294" s="213"/>
      <c r="K294" s="212"/>
      <c r="L294" s="2"/>
      <c r="M294" s="83">
        <v>5</v>
      </c>
      <c r="N294" s="47" t="str">
        <f>IF(L294="NA","",
IF(L294="Yes",5,
IF(L294="Partial",4,
IF(L294="In Progress",3,
IF(L294="Not clarified",2,
IF(L294="No",0,""))))))</f>
        <v/>
      </c>
      <c r="O294" s="47" t="str">
        <f>IF(N294="","",N294*M294)</f>
        <v/>
      </c>
      <c r="P294" s="227"/>
      <c r="Q294" s="231"/>
      <c r="R294" s="219"/>
      <c r="S294" s="220"/>
    </row>
    <row r="295" spans="1:19" ht="14.45" customHeight="1">
      <c r="A295" s="59"/>
      <c r="B295" s="4"/>
      <c r="C295" s="13"/>
      <c r="D295" s="122"/>
      <c r="E295" s="213"/>
      <c r="F295" s="213"/>
      <c r="G295" s="213"/>
      <c r="H295" s="213"/>
      <c r="I295" s="213"/>
      <c r="J295" s="213"/>
      <c r="K295" s="212"/>
      <c r="L295" s="2"/>
      <c r="M295" s="47"/>
      <c r="N295" s="47" t="str">
        <f>IF(L295="NA","",
IF(L295="Yes",5,
IF(L295="Partial",4,
IF(L295="In Progress",3,
IF(L295="Not clarified",2,
IF(L295="No",0,""))))))</f>
        <v/>
      </c>
      <c r="O295" s="47" t="str">
        <f>IF(N295="","",N295*M295)</f>
        <v/>
      </c>
      <c r="P295" s="54"/>
      <c r="Q295" s="228"/>
      <c r="R295" s="213"/>
      <c r="S295" s="212"/>
    </row>
    <row r="296" spans="1:19" ht="14.45" customHeight="1">
      <c r="A296" s="130">
        <v>23</v>
      </c>
      <c r="B296" s="139" t="s">
        <v>327</v>
      </c>
      <c r="C296" s="71" t="s">
        <v>328</v>
      </c>
      <c r="D296" s="128" t="s">
        <v>329</v>
      </c>
      <c r="E296" s="213"/>
      <c r="F296" s="213"/>
      <c r="G296" s="213"/>
      <c r="H296" s="213"/>
      <c r="I296" s="213"/>
      <c r="J296" s="213"/>
      <c r="K296" s="212"/>
      <c r="L296" s="2"/>
      <c r="M296" s="83">
        <v>5</v>
      </c>
      <c r="N296" s="47" t="str">
        <f>IF(L296="NA","",
IF(L296="Yes",5,
IF(L296="Partial",4,
IF(L296="In Progress",3,
IF(L296="Not clarified",2,
IF(L296="No",0,""))))))</f>
        <v/>
      </c>
      <c r="O296" s="47" t="str">
        <f>IF(N296="","",N296*M296)</f>
        <v/>
      </c>
      <c r="P296" s="176" t="str">
        <f>IFERROR(AVERAGE(O296:O299),"")</f>
        <v/>
      </c>
      <c r="Q296" s="191"/>
      <c r="R296" s="229"/>
      <c r="S296" s="250"/>
    </row>
    <row r="297" spans="1:19" ht="14.45" customHeight="1">
      <c r="A297" s="222"/>
      <c r="B297" s="251"/>
      <c r="C297" s="71" t="s">
        <v>330</v>
      </c>
      <c r="D297" s="122" t="s">
        <v>331</v>
      </c>
      <c r="E297" s="213"/>
      <c r="F297" s="213"/>
      <c r="G297" s="213"/>
      <c r="H297" s="213"/>
      <c r="I297" s="213"/>
      <c r="J297" s="213"/>
      <c r="K297" s="212"/>
      <c r="L297" s="2"/>
      <c r="M297" s="83">
        <v>4</v>
      </c>
      <c r="N297" s="47" t="str">
        <f>IF(L297="NA","",
IF(L297="Yes",5,
IF(L297="Partial",4,
IF(L297="In Progress",3,
IF(L297="Not clarified",2,
IF(L297="No",0,""))))))</f>
        <v/>
      </c>
      <c r="O297" s="47" t="str">
        <f>IF(N297="","",N297*M297)</f>
        <v/>
      </c>
      <c r="P297" s="223"/>
      <c r="Q297" s="235"/>
      <c r="R297" s="225"/>
      <c r="S297" s="252"/>
    </row>
    <row r="298" spans="1:19" ht="14.45" customHeight="1">
      <c r="A298" s="222"/>
      <c r="B298" s="251"/>
      <c r="C298" s="71" t="s">
        <v>332</v>
      </c>
      <c r="D298" s="122" t="s">
        <v>333</v>
      </c>
      <c r="E298" s="213"/>
      <c r="F298" s="213"/>
      <c r="G298" s="213"/>
      <c r="H298" s="213"/>
      <c r="I298" s="213"/>
      <c r="J298" s="213"/>
      <c r="K298" s="212"/>
      <c r="L298" s="2"/>
      <c r="M298" s="83">
        <v>5</v>
      </c>
      <c r="N298" s="47" t="str">
        <f>IF(L298="NA","",
IF(L298="Yes",5,
IF(L298="Partial",4,
IF(L298="In Progress",3,
IF(L298="Not clarified",2,
IF(L298="No",0,""))))))</f>
        <v/>
      </c>
      <c r="O298" s="47" t="str">
        <f>IF(N298="","",N298*M298)</f>
        <v/>
      </c>
      <c r="P298" s="223"/>
      <c r="Q298" s="235"/>
      <c r="R298" s="225"/>
      <c r="S298" s="252"/>
    </row>
    <row r="299" spans="1:19" ht="14.45" customHeight="1">
      <c r="A299" s="226"/>
      <c r="B299" s="253"/>
      <c r="C299" s="71" t="s">
        <v>334</v>
      </c>
      <c r="D299" s="122" t="s">
        <v>335</v>
      </c>
      <c r="E299" s="213"/>
      <c r="F299" s="213"/>
      <c r="G299" s="213"/>
      <c r="H299" s="213"/>
      <c r="I299" s="213"/>
      <c r="J299" s="213"/>
      <c r="K299" s="212"/>
      <c r="L299" s="2"/>
      <c r="M299" s="83">
        <v>4</v>
      </c>
      <c r="N299" s="47" t="str">
        <f>IF(L299="NA","",
IF(L299="Yes",5,
IF(L299="Partial",4,
IF(L299="In Progress",3,
IF(L299="Not clarified",2,
IF(L299="No",0,""))))))</f>
        <v/>
      </c>
      <c r="O299" s="47" t="str">
        <f>IF(N299="","",N299*M299)</f>
        <v/>
      </c>
      <c r="P299" s="227"/>
      <c r="Q299" s="254"/>
      <c r="R299" s="255"/>
      <c r="S299" s="256"/>
    </row>
    <row r="300" spans="1:19" ht="14.45" customHeight="1">
      <c r="A300" s="61"/>
      <c r="B300" s="13"/>
      <c r="C300" s="26"/>
      <c r="D300" s="122"/>
      <c r="E300" s="213"/>
      <c r="F300" s="213"/>
      <c r="G300" s="213"/>
      <c r="H300" s="213"/>
      <c r="I300" s="213"/>
      <c r="J300" s="213"/>
      <c r="K300" s="212"/>
      <c r="L300" s="2"/>
      <c r="M300" s="47"/>
      <c r="N300" s="47"/>
      <c r="O300" s="47"/>
      <c r="P300" s="54"/>
      <c r="Q300" s="228"/>
      <c r="R300" s="213"/>
      <c r="S300" s="212"/>
    </row>
    <row r="301" spans="1:19" s="5" customFormat="1" ht="21" customHeight="1">
      <c r="A301" s="138" t="s">
        <v>336</v>
      </c>
      <c r="B301" s="212"/>
      <c r="C301" s="25"/>
      <c r="D301" s="138"/>
      <c r="E301" s="213"/>
      <c r="F301" s="213"/>
      <c r="G301" s="213"/>
      <c r="H301" s="213"/>
      <c r="I301" s="213"/>
      <c r="J301" s="213"/>
      <c r="K301" s="212"/>
      <c r="L301" s="89"/>
      <c r="M301" s="86"/>
      <c r="N301" s="47"/>
      <c r="O301" s="30"/>
      <c r="P301" s="88"/>
      <c r="Q301" s="257"/>
      <c r="R301" s="213"/>
      <c r="S301" s="212"/>
    </row>
    <row r="302" spans="1:19" ht="14.45" customHeight="1">
      <c r="N302" s="53"/>
    </row>
    <row r="303" spans="1:19" ht="14.45" customHeight="1">
      <c r="N303" s="53"/>
    </row>
    <row r="304" spans="1:19" ht="14.45" customHeight="1">
      <c r="N304" s="53"/>
    </row>
    <row r="305" spans="3:3" ht="21" customHeight="1">
      <c r="C305" s="24"/>
    </row>
  </sheetData>
  <mergeCells count="633">
    <mergeCell ref="V14:AA14"/>
    <mergeCell ref="D142:K142"/>
    <mergeCell ref="Q20:S20"/>
    <mergeCell ref="J3:O3"/>
    <mergeCell ref="C207:C210"/>
    <mergeCell ref="D66:K66"/>
    <mergeCell ref="D197:K197"/>
    <mergeCell ref="D253:K253"/>
    <mergeCell ref="Q196:S196"/>
    <mergeCell ref="D47:K47"/>
    <mergeCell ref="D289:K289"/>
    <mergeCell ref="D264:K264"/>
    <mergeCell ref="Q223:S223"/>
    <mergeCell ref="P247:P253"/>
    <mergeCell ref="C271:C273"/>
    <mergeCell ref="Q107:S111"/>
    <mergeCell ref="Q37:S37"/>
    <mergeCell ref="P255:P260"/>
    <mergeCell ref="Q296:S299"/>
    <mergeCell ref="D131:K131"/>
    <mergeCell ref="Q201:S201"/>
    <mergeCell ref="P233:P237"/>
    <mergeCell ref="Q90:S90"/>
    <mergeCell ref="Q261:S261"/>
    <mergeCell ref="Q283:S286"/>
    <mergeCell ref="D52:K52"/>
    <mergeCell ref="D258:K258"/>
    <mergeCell ref="Q188:S188"/>
    <mergeCell ref="Q65:S65"/>
    <mergeCell ref="P266:P269"/>
    <mergeCell ref="D195:K195"/>
    <mergeCell ref="D189:K189"/>
    <mergeCell ref="D116:K116"/>
    <mergeCell ref="D287:K287"/>
    <mergeCell ref="A56:A58"/>
    <mergeCell ref="C56:C58"/>
    <mergeCell ref="A218:A224"/>
    <mergeCell ref="P163:P168"/>
    <mergeCell ref="C218:C224"/>
    <mergeCell ref="C6:G6"/>
    <mergeCell ref="D63:K63"/>
    <mergeCell ref="C85:C93"/>
    <mergeCell ref="Q88:S88"/>
    <mergeCell ref="C186:C191"/>
    <mergeCell ref="Q197:S197"/>
    <mergeCell ref="Q26:S26"/>
    <mergeCell ref="Q180:S180"/>
    <mergeCell ref="C48:C54"/>
    <mergeCell ref="A60:A69"/>
    <mergeCell ref="Q17:S17"/>
    <mergeCell ref="Q182:S182"/>
    <mergeCell ref="J5:O5"/>
    <mergeCell ref="D166:K166"/>
    <mergeCell ref="C95:C105"/>
    <mergeCell ref="D238:K238"/>
    <mergeCell ref="Q246:S246"/>
    <mergeCell ref="D230:K230"/>
    <mergeCell ref="D205:K205"/>
    <mergeCell ref="Q233:S233"/>
    <mergeCell ref="D168:K168"/>
    <mergeCell ref="C121:C123"/>
    <mergeCell ref="D180:K180"/>
    <mergeCell ref="Q12:S12"/>
    <mergeCell ref="D118:K118"/>
    <mergeCell ref="Q183:S183"/>
    <mergeCell ref="D167:K167"/>
    <mergeCell ref="D161:K161"/>
    <mergeCell ref="D232:K232"/>
    <mergeCell ref="Q235:S235"/>
    <mergeCell ref="D38:K38"/>
    <mergeCell ref="D98:K98"/>
    <mergeCell ref="D169:K169"/>
    <mergeCell ref="A85:A93"/>
    <mergeCell ref="D158:K158"/>
    <mergeCell ref="Q232:S232"/>
    <mergeCell ref="D108:K108"/>
    <mergeCell ref="D239:K239"/>
    <mergeCell ref="D95:K95"/>
    <mergeCell ref="D266:K266"/>
    <mergeCell ref="D160:K160"/>
    <mergeCell ref="A71:A83"/>
    <mergeCell ref="Q192:S192"/>
    <mergeCell ref="C71:C83"/>
    <mergeCell ref="D97:K97"/>
    <mergeCell ref="C139:C153"/>
    <mergeCell ref="D72:K72"/>
    <mergeCell ref="D184:K184"/>
    <mergeCell ref="D255:K255"/>
    <mergeCell ref="Q87:S87"/>
    <mergeCell ref="Q245:S245"/>
    <mergeCell ref="Q179:S179"/>
    <mergeCell ref="P155:P161"/>
    <mergeCell ref="D192:K192"/>
    <mergeCell ref="C239:C240"/>
    <mergeCell ref="D113:K113"/>
    <mergeCell ref="D173:K173"/>
    <mergeCell ref="P282:P286"/>
    <mergeCell ref="Q67:S67"/>
    <mergeCell ref="D100:K100"/>
    <mergeCell ref="D271:K271"/>
    <mergeCell ref="Q159:S159"/>
    <mergeCell ref="Q132:S132"/>
    <mergeCell ref="C262:C264"/>
    <mergeCell ref="D237:K237"/>
    <mergeCell ref="Q69:S69"/>
    <mergeCell ref="P95:P105"/>
    <mergeCell ref="D268:K268"/>
    <mergeCell ref="P271:P273"/>
    <mergeCell ref="D148:K148"/>
    <mergeCell ref="D250:K250"/>
    <mergeCell ref="D115:K115"/>
    <mergeCell ref="D286:K286"/>
    <mergeCell ref="Q155:S155"/>
    <mergeCell ref="D261:K261"/>
    <mergeCell ref="Q93:S93"/>
    <mergeCell ref="Q113:S113"/>
    <mergeCell ref="Q205:S205"/>
    <mergeCell ref="D281:K281"/>
    <mergeCell ref="Q301:S301"/>
    <mergeCell ref="D236:K236"/>
    <mergeCell ref="Q68:S68"/>
    <mergeCell ref="D92:K92"/>
    <mergeCell ref="Q239:S239"/>
    <mergeCell ref="D152:K152"/>
    <mergeCell ref="Q264:S264"/>
    <mergeCell ref="D223:K223"/>
    <mergeCell ref="D279:K279"/>
    <mergeCell ref="D94:K94"/>
    <mergeCell ref="D265:K265"/>
    <mergeCell ref="Q224:S224"/>
    <mergeCell ref="D252:K252"/>
    <mergeCell ref="Q142:S142"/>
    <mergeCell ref="D218:K218"/>
    <mergeCell ref="P288:P294"/>
    <mergeCell ref="Q184:S184"/>
    <mergeCell ref="Q236:S236"/>
    <mergeCell ref="Q71:S83"/>
    <mergeCell ref="D170:K170"/>
    <mergeCell ref="D145:K145"/>
    <mergeCell ref="D120:K120"/>
    <mergeCell ref="Q148:S148"/>
    <mergeCell ref="Q219:S219"/>
    <mergeCell ref="Q300:S300"/>
    <mergeCell ref="D284:K284"/>
    <mergeCell ref="Q287:S287"/>
    <mergeCell ref="Q66:S66"/>
    <mergeCell ref="D28:K28"/>
    <mergeCell ref="D221:K221"/>
    <mergeCell ref="Q60:S61"/>
    <mergeCell ref="Q53:S53"/>
    <mergeCell ref="Q158:S158"/>
    <mergeCell ref="D165:K165"/>
    <mergeCell ref="D30:K30"/>
    <mergeCell ref="D29:K29"/>
    <mergeCell ref="Q275:S275"/>
    <mergeCell ref="D163:K163"/>
    <mergeCell ref="D234:K234"/>
    <mergeCell ref="D209:K209"/>
    <mergeCell ref="Q212:S212"/>
    <mergeCell ref="D147:K147"/>
    <mergeCell ref="Q41:S41"/>
    <mergeCell ref="Q128:S130"/>
    <mergeCell ref="D245:K245"/>
    <mergeCell ref="Q277:S277"/>
    <mergeCell ref="D224:K224"/>
    <mergeCell ref="Q56:S56"/>
    <mergeCell ref="Q274:S274"/>
    <mergeCell ref="D81:K81"/>
    <mergeCell ref="Q40:S40"/>
    <mergeCell ref="Q211:S211"/>
    <mergeCell ref="A6:B6"/>
    <mergeCell ref="Q288:S294"/>
    <mergeCell ref="D139:K139"/>
    <mergeCell ref="H6:I6"/>
    <mergeCell ref="C12:C22"/>
    <mergeCell ref="B56:B58"/>
    <mergeCell ref="D76:K76"/>
    <mergeCell ref="B85:B93"/>
    <mergeCell ref="B275:B280"/>
    <mergeCell ref="D23:K23"/>
    <mergeCell ref="J6:O6"/>
    <mergeCell ref="C266:C269"/>
    <mergeCell ref="C29:C36"/>
    <mergeCell ref="C226:C231"/>
    <mergeCell ref="B60:B69"/>
    <mergeCell ref="A125:A137"/>
    <mergeCell ref="D211:K211"/>
    <mergeCell ref="Q43:S43"/>
    <mergeCell ref="Q214:S214"/>
    <mergeCell ref="D25:K25"/>
    <mergeCell ref="B125:B137"/>
    <mergeCell ref="Q234:S234"/>
    <mergeCell ref="Q55:S55"/>
    <mergeCell ref="D79:K79"/>
    <mergeCell ref="Q115:S119"/>
    <mergeCell ref="P207:P210"/>
    <mergeCell ref="C24:C27"/>
    <mergeCell ref="Q38:S38"/>
    <mergeCell ref="Q147:S147"/>
    <mergeCell ref="D31:K31"/>
    <mergeCell ref="D32:K32"/>
    <mergeCell ref="Q24:S24"/>
    <mergeCell ref="D42:K42"/>
    <mergeCell ref="Q51:S51"/>
    <mergeCell ref="D50:K50"/>
    <mergeCell ref="D44:K44"/>
    <mergeCell ref="B71:B83"/>
    <mergeCell ref="P48:P54"/>
    <mergeCell ref="D45:K45"/>
    <mergeCell ref="H3:I3"/>
    <mergeCell ref="D294:K294"/>
    <mergeCell ref="Q247:S253"/>
    <mergeCell ref="D73:K73"/>
    <mergeCell ref="H5:I5"/>
    <mergeCell ref="D231:K231"/>
    <mergeCell ref="A95:A119"/>
    <mergeCell ref="Q121:S121"/>
    <mergeCell ref="Q63:S63"/>
    <mergeCell ref="Q50:S50"/>
    <mergeCell ref="Q221:S221"/>
    <mergeCell ref="A275:A280"/>
    <mergeCell ref="Q215:S215"/>
    <mergeCell ref="C275:C280"/>
    <mergeCell ref="P121:P123"/>
    <mergeCell ref="P29:P36"/>
    <mergeCell ref="B242:B245"/>
    <mergeCell ref="D155:K155"/>
    <mergeCell ref="D149:K149"/>
    <mergeCell ref="Q279:S279"/>
    <mergeCell ref="Q27:S27"/>
    <mergeCell ref="D213:K213"/>
    <mergeCell ref="D13:K13"/>
    <mergeCell ref="D151:K151"/>
    <mergeCell ref="B12:B54"/>
    <mergeCell ref="D288:K288"/>
    <mergeCell ref="D136:K136"/>
    <mergeCell ref="D70:K70"/>
    <mergeCell ref="D263:K263"/>
    <mergeCell ref="Q144:S144"/>
    <mergeCell ref="Q45:S45"/>
    <mergeCell ref="A179:A191"/>
    <mergeCell ref="D78:K78"/>
    <mergeCell ref="Q32:S32"/>
    <mergeCell ref="D134:K134"/>
    <mergeCell ref="D200:K200"/>
    <mergeCell ref="Q47:S47"/>
    <mergeCell ref="D71:K71"/>
    <mergeCell ref="D202:K202"/>
    <mergeCell ref="D58:K58"/>
    <mergeCell ref="Q281:S281"/>
    <mergeCell ref="D126:K126"/>
    <mergeCell ref="D215:K215"/>
    <mergeCell ref="B218:B224"/>
    <mergeCell ref="P186:P191"/>
    <mergeCell ref="Q134:S134"/>
    <mergeCell ref="D15:K15"/>
    <mergeCell ref="Q145:S145"/>
    <mergeCell ref="B95:B119"/>
    <mergeCell ref="D186:K186"/>
    <mergeCell ref="D291:K291"/>
    <mergeCell ref="J7:O7"/>
    <mergeCell ref="Q89:S89"/>
    <mergeCell ref="D57:K57"/>
    <mergeCell ref="D293:K293"/>
    <mergeCell ref="D194:K194"/>
    <mergeCell ref="A242:A245"/>
    <mergeCell ref="C242:C245"/>
    <mergeCell ref="D17:K17"/>
    <mergeCell ref="C155:C161"/>
    <mergeCell ref="Q120:S120"/>
    <mergeCell ref="P262:P264"/>
    <mergeCell ref="P56:P58"/>
    <mergeCell ref="Q187:S187"/>
    <mergeCell ref="C107:C111"/>
    <mergeCell ref="D146:K146"/>
    <mergeCell ref="B226:B240"/>
    <mergeCell ref="P85:P93"/>
    <mergeCell ref="D121:K121"/>
    <mergeCell ref="Q124:S124"/>
    <mergeCell ref="Q195:S195"/>
    <mergeCell ref="Q189:S189"/>
    <mergeCell ref="C3:G3"/>
    <mergeCell ref="Q29:S29"/>
    <mergeCell ref="Q200:S200"/>
    <mergeCell ref="D191:K191"/>
    <mergeCell ref="Q23:S23"/>
    <mergeCell ref="Q194:S194"/>
    <mergeCell ref="Q94:S94"/>
    <mergeCell ref="Q265:S265"/>
    <mergeCell ref="D262:K262"/>
    <mergeCell ref="Q240:S240"/>
    <mergeCell ref="C5:G5"/>
    <mergeCell ref="D128:K128"/>
    <mergeCell ref="D199:K199"/>
    <mergeCell ref="Q31:S31"/>
    <mergeCell ref="D83:K83"/>
    <mergeCell ref="Q238:S238"/>
    <mergeCell ref="Q42:S42"/>
    <mergeCell ref="C60:C69"/>
    <mergeCell ref="D123:K123"/>
    <mergeCell ref="Q126:S126"/>
    <mergeCell ref="D110:K110"/>
    <mergeCell ref="D85:K85"/>
    <mergeCell ref="D60:K60"/>
    <mergeCell ref="D187:K187"/>
    <mergeCell ref="E9:F9"/>
    <mergeCell ref="D244:K244"/>
    <mergeCell ref="Q174:S174"/>
    <mergeCell ref="C132:C137"/>
    <mergeCell ref="H7:I7"/>
    <mergeCell ref="D181:K181"/>
    <mergeCell ref="D102:K102"/>
    <mergeCell ref="D273:K273"/>
    <mergeCell ref="D196:K196"/>
    <mergeCell ref="Q28:S28"/>
    <mergeCell ref="Q199:S199"/>
    <mergeCell ref="D39:K39"/>
    <mergeCell ref="C113:C119"/>
    <mergeCell ref="D133:K133"/>
    <mergeCell ref="Q136:S136"/>
    <mergeCell ref="P139:P153"/>
    <mergeCell ref="Q92:S92"/>
    <mergeCell ref="Q263:S263"/>
    <mergeCell ref="D54:K54"/>
    <mergeCell ref="P226:P231"/>
    <mergeCell ref="Q190:S190"/>
    <mergeCell ref="Q19:S19"/>
    <mergeCell ref="D174:K174"/>
    <mergeCell ref="Q44:S44"/>
    <mergeCell ref="A3:B3"/>
    <mergeCell ref="C199:C205"/>
    <mergeCell ref="D254:K254"/>
    <mergeCell ref="A301:B301"/>
    <mergeCell ref="Q191:S191"/>
    <mergeCell ref="D48:K48"/>
    <mergeCell ref="Q262:S262"/>
    <mergeCell ref="D175:K175"/>
    <mergeCell ref="Q178:S178"/>
    <mergeCell ref="D125:K125"/>
    <mergeCell ref="A5:B5"/>
    <mergeCell ref="Q35:S36"/>
    <mergeCell ref="P239:P240"/>
    <mergeCell ref="D56:K56"/>
    <mergeCell ref="Q21:S21"/>
    <mergeCell ref="D127:K127"/>
    <mergeCell ref="A12:A54"/>
    <mergeCell ref="D176:K176"/>
    <mergeCell ref="D114:K114"/>
    <mergeCell ref="A226:A240"/>
    <mergeCell ref="D247:K247"/>
    <mergeCell ref="D203:K203"/>
    <mergeCell ref="H4:I4"/>
    <mergeCell ref="D249:K249"/>
    <mergeCell ref="A296:A299"/>
    <mergeCell ref="D150:K150"/>
    <mergeCell ref="C255:C260"/>
    <mergeCell ref="Q218:S218"/>
    <mergeCell ref="B193:B197"/>
    <mergeCell ref="A139:A168"/>
    <mergeCell ref="Q13:S13"/>
    <mergeCell ref="P113:P119"/>
    <mergeCell ref="Q243:S243"/>
    <mergeCell ref="P71:P83"/>
    <mergeCell ref="Q242:S242"/>
    <mergeCell ref="D177:K177"/>
    <mergeCell ref="D33:K33"/>
    <mergeCell ref="D226:K226"/>
    <mergeCell ref="D164:K164"/>
    <mergeCell ref="B247:B264"/>
    <mergeCell ref="Q244:S244"/>
    <mergeCell ref="D35:K35"/>
    <mergeCell ref="D228:K228"/>
    <mergeCell ref="D178:K178"/>
    <mergeCell ref="D34:K34"/>
    <mergeCell ref="D172:K172"/>
    <mergeCell ref="D243:K243"/>
    <mergeCell ref="D99:K99"/>
    <mergeCell ref="B282:B286"/>
    <mergeCell ref="Q146:S146"/>
    <mergeCell ref="D157:K157"/>
    <mergeCell ref="C212:C216"/>
    <mergeCell ref="D251:K251"/>
    <mergeCell ref="Q175:S175"/>
    <mergeCell ref="Q58:S58"/>
    <mergeCell ref="D20:K20"/>
    <mergeCell ref="Q150:S150"/>
    <mergeCell ref="Q207:S210"/>
    <mergeCell ref="C179:C184"/>
    <mergeCell ref="Q85:S85"/>
    <mergeCell ref="D109:K109"/>
    <mergeCell ref="D280:K280"/>
    <mergeCell ref="Q177:S177"/>
    <mergeCell ref="D84:K84"/>
    <mergeCell ref="D22:K22"/>
    <mergeCell ref="Q152:S152"/>
    <mergeCell ref="D40:K40"/>
    <mergeCell ref="D111:K111"/>
    <mergeCell ref="D86:K86"/>
    <mergeCell ref="D257:K257"/>
    <mergeCell ref="Q216:S216"/>
    <mergeCell ref="D270:K270"/>
    <mergeCell ref="C282:C286"/>
    <mergeCell ref="D80:K80"/>
    <mergeCell ref="A121:A123"/>
    <mergeCell ref="A247:A264"/>
    <mergeCell ref="C247:C253"/>
    <mergeCell ref="D96:K96"/>
    <mergeCell ref="C4:G4"/>
    <mergeCell ref="A7:B7"/>
    <mergeCell ref="Q163:S168"/>
    <mergeCell ref="P60:P69"/>
    <mergeCell ref="Q255:S260"/>
    <mergeCell ref="D27:K27"/>
    <mergeCell ref="Q241:S241"/>
    <mergeCell ref="P173:P177"/>
    <mergeCell ref="D154:K154"/>
    <mergeCell ref="Q157:S157"/>
    <mergeCell ref="D225:K225"/>
    <mergeCell ref="Q70:S70"/>
    <mergeCell ref="Q222:S222"/>
    <mergeCell ref="D91:K91"/>
    <mergeCell ref="Q172:S172"/>
    <mergeCell ref="D156:K156"/>
    <mergeCell ref="D227:K227"/>
    <mergeCell ref="D93:K93"/>
    <mergeCell ref="A193:A197"/>
    <mergeCell ref="Q213:S213"/>
    <mergeCell ref="Q151:S151"/>
    <mergeCell ref="Q273:S273"/>
    <mergeCell ref="C193:C197"/>
    <mergeCell ref="Q52:S52"/>
    <mergeCell ref="B139:B168"/>
    <mergeCell ref="D14:K14"/>
    <mergeCell ref="D207:K207"/>
    <mergeCell ref="Q39:S39"/>
    <mergeCell ref="B266:B273"/>
    <mergeCell ref="D256:K256"/>
    <mergeCell ref="P242:P245"/>
    <mergeCell ref="D222:K222"/>
    <mergeCell ref="P107:P111"/>
    <mergeCell ref="D159:K159"/>
    <mergeCell ref="B199:B216"/>
    <mergeCell ref="D220:K220"/>
    <mergeCell ref="D36:K36"/>
    <mergeCell ref="D101:K101"/>
    <mergeCell ref="Q84:S84"/>
    <mergeCell ref="A199:A216"/>
    <mergeCell ref="D61:K61"/>
    <mergeCell ref="D105:K105"/>
    <mergeCell ref="C163:C168"/>
    <mergeCell ref="P12:P22"/>
    <mergeCell ref="Q57:S57"/>
    <mergeCell ref="D212:K212"/>
    <mergeCell ref="Q149:S149"/>
    <mergeCell ref="P125:P130"/>
    <mergeCell ref="Q271:S271"/>
    <mergeCell ref="D37:K37"/>
    <mergeCell ref="P24:P27"/>
    <mergeCell ref="D12:K12"/>
    <mergeCell ref="D143:K143"/>
    <mergeCell ref="Q137:S137"/>
    <mergeCell ref="Q173:S173"/>
    <mergeCell ref="D267:K267"/>
    <mergeCell ref="D49:K49"/>
    <mergeCell ref="D242:K242"/>
    <mergeCell ref="Q123:S123"/>
    <mergeCell ref="D107:K107"/>
    <mergeCell ref="Q237:S237"/>
    <mergeCell ref="C125:C130"/>
    <mergeCell ref="D129:K129"/>
    <mergeCell ref="Q266:S269"/>
    <mergeCell ref="D240:K240"/>
    <mergeCell ref="Q16:S16"/>
    <mergeCell ref="A4:B4"/>
    <mergeCell ref="P38:P46"/>
    <mergeCell ref="Q62:S62"/>
    <mergeCell ref="D24:K24"/>
    <mergeCell ref="Q127:S127"/>
    <mergeCell ref="A1:O1"/>
    <mergeCell ref="Q154:S154"/>
    <mergeCell ref="D89:K89"/>
    <mergeCell ref="D260:K260"/>
    <mergeCell ref="Q54:S54"/>
    <mergeCell ref="Q95:S105"/>
    <mergeCell ref="Q64:S64"/>
    <mergeCell ref="D88:K88"/>
    <mergeCell ref="D26:K26"/>
    <mergeCell ref="D153:K153"/>
    <mergeCell ref="Q156:S156"/>
    <mergeCell ref="P132:P137"/>
    <mergeCell ref="Q131:S131"/>
    <mergeCell ref="Q202:S202"/>
    <mergeCell ref="D90:K90"/>
    <mergeCell ref="D217:K217"/>
    <mergeCell ref="Q220:S220"/>
    <mergeCell ref="D179:K179"/>
    <mergeCell ref="Q11:S11"/>
    <mergeCell ref="D301:K301"/>
    <mergeCell ref="D62:K62"/>
    <mergeCell ref="D122:K122"/>
    <mergeCell ref="D193:K193"/>
    <mergeCell ref="D18:K18"/>
    <mergeCell ref="D285:K285"/>
    <mergeCell ref="B296:B299"/>
    <mergeCell ref="D64:K64"/>
    <mergeCell ref="D51:K51"/>
    <mergeCell ref="D82:K82"/>
    <mergeCell ref="D138:K138"/>
    <mergeCell ref="D140:K140"/>
    <mergeCell ref="C172:C177"/>
    <mergeCell ref="D229:K229"/>
    <mergeCell ref="B179:B191"/>
    <mergeCell ref="D77:K77"/>
    <mergeCell ref="B288:B294"/>
    <mergeCell ref="D204:K204"/>
    <mergeCell ref="D198:K198"/>
    <mergeCell ref="D269:K269"/>
    <mergeCell ref="D296:K296"/>
    <mergeCell ref="B121:B123"/>
    <mergeCell ref="D141:K141"/>
    <mergeCell ref="D75:K75"/>
    <mergeCell ref="J4:O4"/>
    <mergeCell ref="Q280:S280"/>
    <mergeCell ref="Q59:S59"/>
    <mergeCell ref="Q22:S22"/>
    <mergeCell ref="D21:K21"/>
    <mergeCell ref="Q295:S295"/>
    <mergeCell ref="Q46:S46"/>
    <mergeCell ref="Q282:S282"/>
    <mergeCell ref="Q86:S86"/>
    <mergeCell ref="Q48:S48"/>
    <mergeCell ref="Q153:S153"/>
    <mergeCell ref="D210:K210"/>
    <mergeCell ref="D272:K272"/>
    <mergeCell ref="D16:K16"/>
    <mergeCell ref="D283:K283"/>
    <mergeCell ref="D87:K87"/>
    <mergeCell ref="P193:P197"/>
    <mergeCell ref="Q217:S217"/>
    <mergeCell ref="D274:K274"/>
    <mergeCell ref="Q226:S231"/>
    <mergeCell ref="Q141:S141"/>
    <mergeCell ref="Q206:S206"/>
    <mergeCell ref="Q34:S34"/>
    <mergeCell ref="Q143:S143"/>
    <mergeCell ref="C7:G7"/>
    <mergeCell ref="Q106:S106"/>
    <mergeCell ref="D74:K74"/>
    <mergeCell ref="Q133:S133"/>
    <mergeCell ref="D201:K201"/>
    <mergeCell ref="D68:K68"/>
    <mergeCell ref="D130:K130"/>
    <mergeCell ref="Q204:S204"/>
    <mergeCell ref="D117:K117"/>
    <mergeCell ref="Q33:S33"/>
    <mergeCell ref="D55:K55"/>
    <mergeCell ref="P199:P205"/>
    <mergeCell ref="D188:K188"/>
    <mergeCell ref="Q198:S198"/>
    <mergeCell ref="D67:K67"/>
    <mergeCell ref="D132:K132"/>
    <mergeCell ref="Q135:S135"/>
    <mergeCell ref="D59:K59"/>
    <mergeCell ref="Q181:S181"/>
    <mergeCell ref="D69:K69"/>
    <mergeCell ref="Q49:S49"/>
    <mergeCell ref="D11:K11"/>
    <mergeCell ref="Q30:S30"/>
    <mergeCell ref="D135:K135"/>
    <mergeCell ref="C38:C46"/>
    <mergeCell ref="D277:K277"/>
    <mergeCell ref="Q138:S138"/>
    <mergeCell ref="Q203:S203"/>
    <mergeCell ref="P179:P184"/>
    <mergeCell ref="D43:K43"/>
    <mergeCell ref="D214:K214"/>
    <mergeCell ref="A288:A294"/>
    <mergeCell ref="C288:C294"/>
    <mergeCell ref="D137:K137"/>
    <mergeCell ref="Q91:S91"/>
    <mergeCell ref="D259:K259"/>
    <mergeCell ref="D290:K290"/>
    <mergeCell ref="C233:C237"/>
    <mergeCell ref="B172:B177"/>
    <mergeCell ref="A172:A177"/>
    <mergeCell ref="Q270:S270"/>
    <mergeCell ref="P218:P224"/>
    <mergeCell ref="D206:K206"/>
    <mergeCell ref="D235:K235"/>
    <mergeCell ref="Q125:S125"/>
    <mergeCell ref="A282:A286"/>
    <mergeCell ref="A266:A273"/>
    <mergeCell ref="Q276:S276"/>
    <mergeCell ref="D282:K282"/>
    <mergeCell ref="D300:K300"/>
    <mergeCell ref="Q139:S140"/>
    <mergeCell ref="Q15:S15"/>
    <mergeCell ref="D183:K183"/>
    <mergeCell ref="Q186:S186"/>
    <mergeCell ref="D248:K248"/>
    <mergeCell ref="D219:K219"/>
    <mergeCell ref="D275:K275"/>
    <mergeCell ref="P212:P216"/>
    <mergeCell ref="D185:K185"/>
    <mergeCell ref="D41:K41"/>
    <mergeCell ref="Q25:S25"/>
    <mergeCell ref="D295:K295"/>
    <mergeCell ref="D298:K298"/>
    <mergeCell ref="Q278:S278"/>
    <mergeCell ref="D299:K299"/>
    <mergeCell ref="D276:K276"/>
    <mergeCell ref="D278:K278"/>
    <mergeCell ref="P275:P280"/>
    <mergeCell ref="P296:P299"/>
    <mergeCell ref="D297:K297"/>
    <mergeCell ref="D292:K292"/>
    <mergeCell ref="Q272:S272"/>
    <mergeCell ref="D182:K182"/>
    <mergeCell ref="Q14:S14"/>
    <mergeCell ref="Q185:S185"/>
    <mergeCell ref="D144:K144"/>
    <mergeCell ref="D119:K119"/>
    <mergeCell ref="Q122:S122"/>
    <mergeCell ref="D190:K190"/>
    <mergeCell ref="D246:K246"/>
    <mergeCell ref="D46:K46"/>
    <mergeCell ref="Q193:S193"/>
    <mergeCell ref="Q176:S176"/>
    <mergeCell ref="D233:K233"/>
    <mergeCell ref="Q114:S114"/>
    <mergeCell ref="D208:K208"/>
    <mergeCell ref="Q18:S18"/>
    <mergeCell ref="D19:K19"/>
  </mergeCells>
  <conditionalFormatting sqref="G9">
    <cfRule type="cellIs" dxfId="26" priority="16" operator="between">
      <formula>50</formula>
      <formula>0</formula>
    </cfRule>
    <cfRule type="cellIs" dxfId="25" priority="17" operator="between">
      <formula>85</formula>
      <formula>51</formula>
    </cfRule>
    <cfRule type="cellIs" dxfId="24" priority="18" operator="between">
      <formula>100</formula>
      <formula>86</formula>
    </cfRule>
  </conditionalFormatting>
  <conditionalFormatting sqref="L301">
    <cfRule type="cellIs" dxfId="23" priority="19" operator="between">
      <formula>50</formula>
      <formula>0</formula>
    </cfRule>
    <cfRule type="cellIs" dxfId="22" priority="20" operator="between">
      <formula>85</formula>
      <formula>51</formula>
    </cfRule>
    <cfRule type="cellIs" dxfId="21" priority="21" operator="between">
      <formula>100</formula>
      <formula>86</formula>
    </cfRule>
  </conditionalFormatting>
  <conditionalFormatting sqref="L12:L224 L226:L280 L282:L300 M23 M28 M37 M47 M55 M59 M70 M84 M94 M106 M112 M120 M124 M131 M138 M154 M162 M169 M172 M178 M185 M192 M198 M206 M211 M217 M225 M232 M238 M246 M254 M261 M265 M270 M274 M281 M287 M295 M300:M301 N12:P12 N13:N304 O13:O309 P23 P60 P70:P71 P84:P85 P94:P95 P106:P107 P112:P113 P120:P121 P124:P125 P131:P132 P138:P139 P154:P155 P162:P163 P169:P173 P178:P179 P185:P186 P192:P193 P198:P199 P206:P207 P211:P212 P217:P218 P225:P226 P232:P233 P238:P239 P241:P242 P246:P247 P254:P255 P261:P262 P265:P266 P270:P271 P274:P275 P281:P282 P287:P288 P295:P296 P300:P301">
    <cfRule type="containsText" dxfId="20" priority="10" operator="containsText" text="Partial">
      <formula>NOT(ISERROR(SEARCH("Partial",L12)))</formula>
    </cfRule>
    <cfRule type="containsText" dxfId="19" priority="11" operator="containsText" text="Yes">
      <formula>NOT(ISERROR(SEARCH("Yes",L12)))</formula>
    </cfRule>
    <cfRule type="containsText" dxfId="18" priority="12" operator="containsText" text="No">
      <formula>NOT(ISERROR(SEARCH("No",L12)))</formula>
    </cfRule>
  </conditionalFormatting>
  <dataValidations count="1">
    <dataValidation type="list" allowBlank="1" showInputMessage="1" showErrorMessage="1" sqref="L1:L2 L11:L22 L24:L27 L29:L224 L226:L280 L282:L300 L302:L1048576 M10:N10" xr:uid="{00000000-0002-0000-0000-000000000000}">
      <formula1>"Yes, In Progress, Partial, Not Clarified, No, NA"</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
  <sheetViews>
    <sheetView showGridLines="0" zoomScale="90" zoomScaleNormal="90" workbookViewId="0">
      <selection activeCell="B13" sqref="B13"/>
    </sheetView>
  </sheetViews>
  <sheetFormatPr defaultColWidth="8.7109375" defaultRowHeight="14.45"/>
  <cols>
    <col min="1" max="1" width="8.7109375" style="11" customWidth="1"/>
    <col min="2" max="3" width="14" style="11" customWidth="1"/>
    <col min="4" max="4" width="28" style="11" customWidth="1"/>
    <col min="5" max="5" width="17.28515625" style="11" customWidth="1"/>
    <col min="6" max="6" width="37.5703125" style="11" customWidth="1"/>
    <col min="7" max="7" width="32.85546875" style="11" customWidth="1"/>
    <col min="8" max="8" width="23.5703125" style="11" customWidth="1"/>
    <col min="9" max="9" width="18.85546875" style="11" customWidth="1"/>
    <col min="10" max="10" width="8.7109375" style="11" customWidth="1"/>
    <col min="11" max="11" width="12.85546875" style="11" customWidth="1"/>
    <col min="12" max="12" width="19.7109375" style="11" customWidth="1"/>
    <col min="13" max="13" width="35" style="11" customWidth="1"/>
    <col min="14" max="14" width="8.7109375" style="11" customWidth="1"/>
    <col min="15" max="16384" width="8.7109375" style="11"/>
  </cols>
  <sheetData>
    <row r="1" spans="1:13" ht="23.25" customHeight="1" thickBot="1">
      <c r="A1" s="199" t="s">
        <v>337</v>
      </c>
      <c r="B1" s="207"/>
      <c r="C1" s="207"/>
      <c r="D1" s="207"/>
      <c r="E1" s="207"/>
      <c r="F1" s="207"/>
      <c r="G1" s="207"/>
      <c r="H1" s="207"/>
      <c r="I1" s="258"/>
    </row>
    <row r="2" spans="1:13" ht="15" customHeight="1" thickBot="1">
      <c r="A2" s="196"/>
      <c r="B2" s="207"/>
      <c r="C2" s="207"/>
      <c r="D2" s="207"/>
      <c r="E2" s="207"/>
      <c r="F2" s="207"/>
      <c r="G2" s="207"/>
      <c r="H2" s="207"/>
      <c r="I2" s="207"/>
    </row>
    <row r="3" spans="1:13" ht="14.45" customHeight="1">
      <c r="A3" s="204" t="s">
        <v>1</v>
      </c>
      <c r="B3" s="209"/>
      <c r="C3" s="201"/>
      <c r="D3" s="210"/>
      <c r="E3" s="210"/>
      <c r="F3" s="48" t="s">
        <v>2</v>
      </c>
      <c r="G3" s="192"/>
      <c r="H3" s="210"/>
      <c r="I3" s="210"/>
      <c r="J3" s="210"/>
      <c r="K3" s="210"/>
      <c r="L3" s="211"/>
    </row>
    <row r="4" spans="1:13">
      <c r="A4" s="195" t="s">
        <v>3</v>
      </c>
      <c r="B4" s="212"/>
      <c r="C4" s="200"/>
      <c r="D4" s="213"/>
      <c r="E4" s="259"/>
      <c r="F4" s="49" t="s">
        <v>4</v>
      </c>
      <c r="G4" s="133"/>
      <c r="H4" s="213"/>
      <c r="I4" s="213"/>
      <c r="J4" s="213"/>
      <c r="K4" s="213"/>
      <c r="L4" s="214"/>
    </row>
    <row r="5" spans="1:13">
      <c r="A5" s="195" t="s">
        <v>5</v>
      </c>
      <c r="B5" s="212"/>
      <c r="C5" s="197"/>
      <c r="D5" s="213"/>
      <c r="E5" s="259"/>
      <c r="F5" s="49" t="s">
        <v>6</v>
      </c>
      <c r="G5" s="133"/>
      <c r="H5" s="213"/>
      <c r="I5" s="213"/>
      <c r="J5" s="213"/>
      <c r="K5" s="213"/>
      <c r="L5" s="214"/>
    </row>
    <row r="6" spans="1:13">
      <c r="A6" s="195" t="s">
        <v>7</v>
      </c>
      <c r="B6" s="212"/>
      <c r="C6" s="202"/>
      <c r="D6" s="213"/>
      <c r="E6" s="213"/>
      <c r="F6" s="49" t="s">
        <v>8</v>
      </c>
      <c r="G6" s="185"/>
      <c r="H6" s="213"/>
      <c r="I6" s="213"/>
      <c r="J6" s="213"/>
      <c r="K6" s="213"/>
      <c r="L6" s="214"/>
    </row>
    <row r="7" spans="1:13" ht="15" customHeight="1" thickBot="1">
      <c r="A7" s="198" t="s">
        <v>9</v>
      </c>
      <c r="B7" s="215"/>
      <c r="C7" s="203"/>
      <c r="D7" s="216"/>
      <c r="E7" s="260"/>
      <c r="F7" s="50" t="s">
        <v>10</v>
      </c>
      <c r="G7" s="174"/>
      <c r="H7" s="216"/>
      <c r="I7" s="216"/>
      <c r="J7" s="216"/>
      <c r="K7" s="216"/>
      <c r="L7" s="217"/>
    </row>
    <row r="8" spans="1:13" ht="15" customHeight="1" thickBot="1">
      <c r="A8" s="51"/>
      <c r="B8" s="51"/>
      <c r="C8" s="52"/>
      <c r="D8" s="52"/>
      <c r="E8" s="52"/>
      <c r="F8" s="52"/>
      <c r="G8" s="52"/>
      <c r="H8" s="52"/>
      <c r="I8" s="52"/>
    </row>
    <row r="9" spans="1:13" ht="18.75" customHeight="1">
      <c r="A9" s="51"/>
      <c r="B9" s="51"/>
      <c r="C9" s="51"/>
      <c r="D9" s="170" t="s">
        <v>11</v>
      </c>
      <c r="E9" s="218"/>
      <c r="F9" s="55"/>
      <c r="G9" s="51"/>
      <c r="H9" s="51"/>
      <c r="I9" s="51"/>
    </row>
    <row r="12" spans="1:13" s="56" customFormat="1">
      <c r="A12" s="56" t="s">
        <v>12</v>
      </c>
      <c r="B12" s="56" t="s">
        <v>338</v>
      </c>
      <c r="C12" s="56" t="s">
        <v>339</v>
      </c>
      <c r="D12" s="56" t="s">
        <v>340</v>
      </c>
      <c r="E12" s="56" t="s">
        <v>341</v>
      </c>
      <c r="F12" s="56" t="s">
        <v>342</v>
      </c>
      <c r="G12" s="56" t="s">
        <v>343</v>
      </c>
      <c r="H12" s="56" t="s">
        <v>344</v>
      </c>
      <c r="I12" s="56" t="s">
        <v>345</v>
      </c>
      <c r="J12" s="56" t="s">
        <v>346</v>
      </c>
      <c r="K12" s="56" t="s">
        <v>347</v>
      </c>
      <c r="L12" s="56" t="s">
        <v>348</v>
      </c>
      <c r="M12" s="56" t="s">
        <v>349</v>
      </c>
    </row>
    <row r="13" spans="1:13" ht="101.45" customHeight="1">
      <c r="B13" s="120"/>
      <c r="K13" s="12"/>
    </row>
    <row r="14" spans="1:13" ht="116.1" customHeight="1">
      <c r="B14" s="120"/>
      <c r="K14" s="12"/>
    </row>
    <row r="15" spans="1:13" ht="116.1" customHeight="1">
      <c r="B15" s="120"/>
      <c r="K15" s="12"/>
    </row>
    <row r="16" spans="1:13">
      <c r="B16" s="120"/>
      <c r="K16" s="12"/>
    </row>
    <row r="17" spans="2:11">
      <c r="B17" s="120"/>
      <c r="K17" s="12"/>
    </row>
  </sheetData>
  <mergeCells count="18">
    <mergeCell ref="D9:E9"/>
    <mergeCell ref="A3:B3"/>
    <mergeCell ref="A6:B6"/>
    <mergeCell ref="G7:L7"/>
    <mergeCell ref="A1:I1"/>
    <mergeCell ref="C4:E4"/>
    <mergeCell ref="G3:L3"/>
    <mergeCell ref="C3:E3"/>
    <mergeCell ref="C6:E6"/>
    <mergeCell ref="G4:L4"/>
    <mergeCell ref="A4:B4"/>
    <mergeCell ref="A2:I2"/>
    <mergeCell ref="G5:L5"/>
    <mergeCell ref="C5:E5"/>
    <mergeCell ref="A7:B7"/>
    <mergeCell ref="G6:L6"/>
    <mergeCell ref="A5:B5"/>
    <mergeCell ref="C7:E7"/>
  </mergeCells>
  <conditionalFormatting sqref="F9">
    <cfRule type="cellIs" dxfId="17" priority="1" operator="between">
      <formula>50</formula>
      <formula>0</formula>
    </cfRule>
    <cfRule type="cellIs" dxfId="16" priority="2" operator="between">
      <formula>85</formula>
      <formula>51</formula>
    </cfRule>
    <cfRule type="cellIs" dxfId="15" priority="3" operator="between">
      <formula>100</formula>
      <formula>86</formula>
    </cfRule>
  </conditionalFormatting>
  <dataValidations count="3">
    <dataValidation type="list" allowBlank="1" showInputMessage="1" showErrorMessage="1" sqref="J13:J17" xr:uid="{00000000-0002-0000-0100-000000000000}">
      <formula1>"Open, In Progress, Closed, Deffered"</formula1>
    </dataValidation>
    <dataValidation type="list" allowBlank="1" showInputMessage="1" showErrorMessage="1" sqref="C13:C17" xr:uid="{00000000-0002-0000-0100-000001000000}">
      <formula1>"NC, Observation, Suggestion"</formula1>
    </dataValidation>
    <dataValidation type="list" allowBlank="1" showInputMessage="1" showErrorMessage="1" sqref="E13:E17" xr:uid="{00000000-0002-0000-0100-000002000000}">
      <formula1>#REF!</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82" workbookViewId="0"/>
  </sheetViews>
  <sheetFormatPr defaultRowHeight="14.45"/>
  <sheetData>
    <row r="1" spans="1:1">
      <c r="A1" t="s">
        <v>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Surendra Joshi</dc:creator>
  <cp:keywords/>
  <dc:description/>
  <cp:lastModifiedBy/>
  <cp:revision/>
  <dcterms:created xsi:type="dcterms:W3CDTF">2014-10-17T11:15:23Z</dcterms:created>
  <dcterms:modified xsi:type="dcterms:W3CDTF">2026-09-17T06:18:29Z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c19124d8-397d-466e-b5f1-621e200e10b9</vt:lpwstr>
  </property>
  <property fmtid="{D5CDD505-2E9C-101B-9397-08002B2CF9AE}" pid="3" name="ContentTypeId">
    <vt:lpwstr>0x010100224F0ED425E3A440AFF83376995AE649</vt:lpwstr>
  </property>
  <property fmtid="{D5CDD505-2E9C-101B-9397-08002B2CF9AE}" pid="4" name="MediaServiceImageTags">
    <vt:lpwstr/>
  </property>
</Properties>
</file>